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etup\Documents\GitHub\data-analytics-lectures\week-2\Exercises\2-4-A-preparing-to-build-model\"/>
    </mc:Choice>
  </mc:AlternateContent>
  <bookViews>
    <workbookView xWindow="0" yWindow="0" windowWidth="23040" windowHeight="8616"/>
  </bookViews>
  <sheets>
    <sheet name="Trucking Cost Model" sheetId="1" r:id="rId1"/>
    <sheet name="Model" sheetId="2" state="veryHidden" r:id="rId2"/>
    <sheet name="Instructions" sheetId="3" r:id="rId3"/>
    <sheet name="Information" sheetId="4" r:id="rId4"/>
  </sheets>
  <calcPr calcId="162913"/>
</workbook>
</file>

<file path=xl/calcChain.xml><?xml version="1.0" encoding="utf-8"?>
<calcChain xmlns="http://schemas.openxmlformats.org/spreadsheetml/2006/main">
  <c r="B77" i="2" l="1"/>
  <c r="B82" i="2" l="1"/>
  <c r="B80" i="2"/>
  <c r="B75" i="2"/>
  <c r="B76" i="2" s="1"/>
  <c r="B74" i="2"/>
  <c r="B61" i="2"/>
  <c r="B58" i="2"/>
  <c r="B57" i="2"/>
  <c r="B54" i="2"/>
  <c r="B56" i="2" s="1"/>
  <c r="B53" i="2"/>
  <c r="B43" i="2"/>
  <c r="B32" i="2"/>
  <c r="B31" i="2"/>
  <c r="B30" i="2"/>
  <c r="B29" i="2"/>
  <c r="B26" i="2"/>
  <c r="B24" i="2"/>
  <c r="B23" i="2"/>
  <c r="B22" i="2"/>
  <c r="B21" i="2"/>
  <c r="B18" i="2"/>
  <c r="B14" i="2"/>
  <c r="B13" i="2"/>
  <c r="B12" i="2"/>
  <c r="B11" i="2"/>
  <c r="B10" i="2"/>
  <c r="B8" i="2"/>
  <c r="B7" i="2"/>
  <c r="B6" i="2"/>
  <c r="B35" i="2"/>
  <c r="B16" i="2" l="1"/>
  <c r="B70" i="2"/>
  <c r="B55" i="2"/>
  <c r="B62" i="2" s="1"/>
  <c r="B71" i="2"/>
  <c r="B37" i="2"/>
  <c r="B39" i="2" s="1"/>
  <c r="B36" i="2"/>
  <c r="B38" i="2" s="1"/>
  <c r="B78" i="2"/>
  <c r="B63" i="2"/>
  <c r="B25" i="2"/>
  <c r="B27" i="2" s="1"/>
  <c r="B15" i="2"/>
  <c r="B5" i="2"/>
  <c r="B44" i="2" s="1"/>
  <c r="B45" i="2" s="1"/>
  <c r="B60" i="2"/>
  <c r="B17" i="2" l="1"/>
  <c r="B19" i="2" s="1"/>
  <c r="B59" i="2"/>
  <c r="B64" i="2" s="1"/>
  <c r="B72" i="2"/>
  <c r="B65" i="2"/>
  <c r="B40" i="2"/>
  <c r="B41" i="2" s="1"/>
  <c r="B47" i="2" l="1"/>
  <c r="B48" i="2" s="1"/>
  <c r="B66" i="2"/>
  <c r="B84" i="2" s="1"/>
  <c r="B87" i="2" l="1"/>
  <c r="B90" i="2" s="1"/>
  <c r="B85" i="2"/>
  <c r="B89" i="2" l="1"/>
  <c r="B91" i="2" s="1"/>
  <c r="B88" i="2"/>
</calcChain>
</file>

<file path=xl/sharedStrings.xml><?xml version="1.0" encoding="utf-8"?>
<sst xmlns="http://schemas.openxmlformats.org/spreadsheetml/2006/main" count="210" uniqueCount="157">
  <si>
    <t>Trucking Cost Model</t>
  </si>
  <si>
    <t>Variable Costs</t>
  </si>
  <si>
    <t>Weight</t>
  </si>
  <si>
    <t>Pay Load</t>
  </si>
  <si>
    <t>Tractor Weight (Pounds)</t>
  </si>
  <si>
    <t>Trailer Weight (Pounds)</t>
  </si>
  <si>
    <t>Fuel Cost</t>
  </si>
  <si>
    <t>Fuel Price/Gallon</t>
  </si>
  <si>
    <t>Loaded Truck Miles/Gallon</t>
  </si>
  <si>
    <t>Empty Truck Miles/Gallon</t>
  </si>
  <si>
    <t>Travel Distance (Miles)</t>
  </si>
  <si>
    <t>Labor Cost</t>
  </si>
  <si>
    <t>Driving Time (Hours)</t>
  </si>
  <si>
    <t>Unloading Time (Hours)</t>
  </si>
  <si>
    <t>Loading Time (Hours)</t>
  </si>
  <si>
    <t>Dwell Time (Hours)</t>
  </si>
  <si>
    <t>Tire Cost</t>
  </si>
  <si>
    <t>Tractor Tire Cost/Tire</t>
  </si>
  <si>
    <t>Trailer Tire Cost/Tire</t>
  </si>
  <si>
    <t>Tractor Tire Miles/Tire</t>
  </si>
  <si>
    <t>Trailer Tire Miles/Tire</t>
  </si>
  <si>
    <t>Maintenance and Repair Cost</t>
  </si>
  <si>
    <t>Base Repair Cost/Mile</t>
  </si>
  <si>
    <t>Fixed Costs</t>
  </si>
  <si>
    <t>Equipment Cost</t>
  </si>
  <si>
    <t>Purchase Price of Trailer</t>
  </si>
  <si>
    <t>Purchase Price of Tractor</t>
  </si>
  <si>
    <t xml:space="preserve">Interest Rate </t>
  </si>
  <si>
    <t>License Fee</t>
  </si>
  <si>
    <t>Annual License Fee</t>
  </si>
  <si>
    <t>Number of Tractors and Trailers in Fleet</t>
  </si>
  <si>
    <t>Annual Miles</t>
  </si>
  <si>
    <t>Management and Overhead Cost</t>
  </si>
  <si>
    <t>Insurance Cost</t>
  </si>
  <si>
    <t>Insurance Premium</t>
  </si>
  <si>
    <t>Total Trucking Cost</t>
  </si>
  <si>
    <t>Total Trucking Cost/Hour</t>
  </si>
  <si>
    <t>Total Trucking Cost/Mile</t>
  </si>
  <si>
    <t>Total Trucking Cost/Loaded Ton-Mile</t>
  </si>
  <si>
    <t>References:</t>
  </si>
  <si>
    <t>Berwick, Mark and Mohammad Farooq. "Truck Costing Model for Transportation Managers." Upper Great Plains Transportation Institute North Dakota State University, 2003</t>
  </si>
  <si>
    <t>http://www.bls.gov/oes/current/oes533032.htm#st</t>
  </si>
  <si>
    <t>http://tonto.eia.doe.gov/oog/info/wohdp/diesel.asp</t>
  </si>
  <si>
    <t>http://www.irs.gov/pub/irs-pdf/f2290.pdf</t>
  </si>
  <si>
    <t>http://www.irs.gov/pub/irs-pdf/i720.pdf</t>
  </si>
  <si>
    <t>Limitations:</t>
  </si>
  <si>
    <r>
      <rPr>
        <u/>
        <sz val="11"/>
        <color indexed="8"/>
        <rFont val="Calibri"/>
        <family val="2"/>
      </rPr>
      <t>Truck Defalt Specifications:</t>
    </r>
    <r>
      <rPr>
        <sz val="11"/>
        <color theme="1"/>
        <rFont val="Calibri"/>
        <family val="2"/>
        <scheme val="minor"/>
      </rPr>
      <t xml:space="preserve"> Owner-operated, day cab</t>
    </r>
  </si>
  <si>
    <r>
      <rPr>
        <u/>
        <sz val="11"/>
        <rFont val="Calibri"/>
        <family val="2"/>
      </rPr>
      <t>Taxes and Fees:</t>
    </r>
    <r>
      <rPr>
        <sz val="11"/>
        <rFont val="Calibri"/>
        <family val="2"/>
      </rPr>
      <t xml:space="preserve"> All applicable taxes and fees may not be represented</t>
    </r>
  </si>
  <si>
    <t>Percent Time Loaded</t>
  </si>
  <si>
    <t>Percent Time Empty</t>
  </si>
  <si>
    <r>
      <rPr>
        <u/>
        <sz val="11"/>
        <color indexed="8"/>
        <rFont val="Calibri"/>
        <family val="2"/>
      </rPr>
      <t xml:space="preserve">Cost Structure: </t>
    </r>
    <r>
      <rPr>
        <sz val="11"/>
        <color theme="1"/>
        <rFont val="Calibri"/>
        <family val="2"/>
        <scheme val="minor"/>
      </rPr>
      <t>Short hauls (&lt;11 hour travel distance); Full truckload, Class 50 Product</t>
    </r>
  </si>
  <si>
    <t>Tax Sources (forms):</t>
  </si>
  <si>
    <t>Suggested Sources for Inputs:</t>
  </si>
  <si>
    <t>Driver Labor Cost/Hour</t>
  </si>
  <si>
    <t>Heavy Highway Vehicle Use Tax form 2290</t>
  </si>
  <si>
    <t>Quarterly Federal Excise Tax form 720</t>
  </si>
  <si>
    <t>Inputs</t>
  </si>
  <si>
    <t>Outputs</t>
  </si>
  <si>
    <t xml:space="preserve">Total Trucking Cost/Ton </t>
  </si>
  <si>
    <t xml:space="preserve">Overhead Cost Rate </t>
  </si>
  <si>
    <t xml:space="preserve">                                                                                                                                  </t>
  </si>
  <si>
    <t>Gross Vehicle Weight (GVW)</t>
  </si>
  <si>
    <t>% Loaded</t>
  </si>
  <si>
    <t>% Empty</t>
  </si>
  <si>
    <t>Loaded Truck Cost/Mile for Fuel</t>
  </si>
  <si>
    <t>Empty Truck Cost/Mile for Fuel</t>
  </si>
  <si>
    <t>Average Fuel Cost/Mile</t>
  </si>
  <si>
    <t xml:space="preserve">Total Fuel Cost </t>
  </si>
  <si>
    <t>Total Labor Time (Hours)</t>
  </si>
  <si>
    <t>Labor Cost/Hour</t>
  </si>
  <si>
    <t xml:space="preserve">Total Labor Cost </t>
  </si>
  <si>
    <t xml:space="preserve">Number of Tractor Tires </t>
  </si>
  <si>
    <t xml:space="preserve">Number of Trailer Tires </t>
  </si>
  <si>
    <t>Total Number of Tires/Truck</t>
  </si>
  <si>
    <t>Tire Cost/Mile/Tire for Tractor</t>
  </si>
  <si>
    <t>Tire Cost/Mile/Tire for Trailer</t>
  </si>
  <si>
    <t xml:space="preserve">Tractor Tire Cost/Vehicle/Mile/Time </t>
  </si>
  <si>
    <t>Trailer Tire Cost/Vehicle/Mile/Time</t>
  </si>
  <si>
    <t>Total Tire Cost/Vehicle/Mile</t>
  </si>
  <si>
    <t>Total Tire Cost</t>
  </si>
  <si>
    <t>Total Maintenance and Repair Cost/Mile</t>
  </si>
  <si>
    <t>Total Maintenance and Repair Cost</t>
  </si>
  <si>
    <t>Total Variable Cost</t>
  </si>
  <si>
    <t>Total Variable Cost/Mile</t>
  </si>
  <si>
    <t>Salvage Price of Trailer</t>
  </si>
  <si>
    <t>Salvage Price of Tractor</t>
  </si>
  <si>
    <t>Estimated Useful Life of Trailer (years)</t>
  </si>
  <si>
    <t>Estimated Useful Life of Tractor (years)</t>
  </si>
  <si>
    <t>Annual Depreciation for Trailer</t>
  </si>
  <si>
    <t>Annual Depreciation for Tractor</t>
  </si>
  <si>
    <t>ROI for Trailer</t>
  </si>
  <si>
    <t>ROI for Tractor</t>
  </si>
  <si>
    <t>Equipment Cost for Trailer</t>
  </si>
  <si>
    <t>Equipment Cost for Tractor</t>
  </si>
  <si>
    <t>Total Annual Equipment Cost</t>
  </si>
  <si>
    <t>Tax</t>
  </si>
  <si>
    <t xml:space="preserve">Heavy Highway Vehicle Use Tax </t>
  </si>
  <si>
    <t xml:space="preserve">Federal Excise Tax Rate </t>
  </si>
  <si>
    <t>Taxable for Trailer</t>
  </si>
  <si>
    <t>Taxable for Tractor</t>
  </si>
  <si>
    <t>Total  Tax</t>
  </si>
  <si>
    <t>Unified Carrier Registration (UCR) Fee</t>
  </si>
  <si>
    <t>Total License Fees</t>
  </si>
  <si>
    <t xml:space="preserve">Annual Overhead Cost Rate </t>
  </si>
  <si>
    <t xml:space="preserve">Total Fixed Cost  </t>
  </si>
  <si>
    <t xml:space="preserve">Total Fixed Cost/Mile  </t>
  </si>
  <si>
    <t>Total Trucking Cost/Ton (Payload)</t>
  </si>
  <si>
    <r>
      <rPr>
        <u/>
        <sz val="11"/>
        <color indexed="8"/>
        <rFont val="Calibri"/>
        <family val="2"/>
      </rPr>
      <t xml:space="preserve">Cost Structure: </t>
    </r>
    <r>
      <rPr>
        <sz val="11"/>
        <color theme="1"/>
        <rFont val="Calibri"/>
        <family val="2"/>
        <scheme val="minor"/>
      </rPr>
      <t>Short hauls (&lt;11 hour travel distance); Full truckload, Hauling forest and agricultural products, Class 50</t>
    </r>
  </si>
  <si>
    <t>Default Inputs</t>
  </si>
  <si>
    <t>Useful Life of Tractor (Years)</t>
  </si>
  <si>
    <t>Useful Life of Trailer (Years)</t>
  </si>
  <si>
    <t>Author</t>
  </si>
  <si>
    <t>Kerri Norris</t>
  </si>
  <si>
    <t>Published</t>
  </si>
  <si>
    <t>knorris@utk.edu</t>
  </si>
  <si>
    <t>(865)946-1101</t>
  </si>
  <si>
    <t>University of Tennessee</t>
  </si>
  <si>
    <t>Forest Product Center</t>
  </si>
  <si>
    <t>Sources and References:</t>
  </si>
  <si>
    <t>Disclaimer:</t>
  </si>
  <si>
    <t>Round Trip Travel Distance (Miles)</t>
  </si>
  <si>
    <t>Round Trip Driving Time (Hours)</t>
  </si>
  <si>
    <t>Purpose:</t>
  </si>
  <si>
    <t>Instuctions:</t>
  </si>
  <si>
    <t>There are three ways to use this model.</t>
  </si>
  <si>
    <t>Notes:</t>
  </si>
  <si>
    <t xml:space="preserve">This model estimates cost to the operator not the price charged. </t>
  </si>
  <si>
    <t>Recommended input sources:</t>
  </si>
  <si>
    <t>Mean Hourly Wage</t>
  </si>
  <si>
    <t>Diesel Fuel Price</t>
  </si>
  <si>
    <t>Input</t>
  </si>
  <si>
    <t>Source</t>
  </si>
  <si>
    <t>Bureau of Labor Statistics</t>
  </si>
  <si>
    <t>Energy Information Administration</t>
  </si>
  <si>
    <t>Website</t>
  </si>
  <si>
    <t xml:space="preserve">This model was developed and validated using the following sources for specific input values.     </t>
  </si>
  <si>
    <t xml:space="preserve">The Trucking Cost Model allows users to estimate tractor-trailer transportation costs for a single trip or haul.   </t>
  </si>
  <si>
    <t xml:space="preserve">This model calculates the operating cost for a single round trip haul of 11 hours or less for an owner-operated, non-specialized, day-cab tractor-trailer truck hauling class 50 cargos. </t>
  </si>
  <si>
    <t>Using this model requires that macros are enabled for your Excel software. For help with this visit and search: www.office.microsoft.com</t>
  </si>
  <si>
    <t>All of the calculations for this model take place on a sheet  in this workbook named 'Model' that has been hidden to users. To view the sheet open 'Visual Basic' and change the 'Visible' field (in the 'Properties' window) of the 'Model' sheet to '-1 - xlSheetVisible'. For help with this visit and search: www.office.microsoft.com</t>
  </si>
  <si>
    <t>Author Information:</t>
  </si>
  <si>
    <t>Research Associate</t>
  </si>
  <si>
    <t>The University of Tennessee</t>
  </si>
  <si>
    <t>Forest Products Center</t>
  </si>
  <si>
    <t>2506 Jacob Drive</t>
  </si>
  <si>
    <t>Knoxville, TN 37996</t>
  </si>
  <si>
    <r>
      <t xml:space="preserve">1. </t>
    </r>
    <r>
      <rPr>
        <u/>
        <sz val="11"/>
        <color theme="1"/>
        <rFont val="Calibri"/>
        <family val="2"/>
        <scheme val="minor"/>
      </rPr>
      <t>Manual:</t>
    </r>
    <r>
      <rPr>
        <sz val="11"/>
        <color theme="1"/>
        <rFont val="Calibri"/>
        <family val="2"/>
        <scheme val="minor"/>
      </rPr>
      <t xml:space="preserve"> Type desired values into the fields in the 'Inputs' section. Click the 'Run Model' button. The costs will appear in the fields in the 'Outputs' section.</t>
    </r>
  </si>
  <si>
    <t xml:space="preserve">When using the default buttons, the default values will replace any and all values in the cells associated with that default type. </t>
  </si>
  <si>
    <t xml:space="preserve">This workbook is not protected in any way. Users can save any and all changes. Save changes at your own risk. It could potentially damage the model.    </t>
  </si>
  <si>
    <r>
      <t xml:space="preserve">The Trucking Cost Model and defaults were adapted from Mark Berwick and Mohammad Farooq’s </t>
    </r>
    <r>
      <rPr>
        <i/>
        <sz val="11"/>
        <color theme="1"/>
        <rFont val="Calibri"/>
        <family val="2"/>
        <scheme val="minor"/>
      </rPr>
      <t>Truck Costing Model of Transportation Managers</t>
    </r>
    <r>
      <rPr>
        <sz val="11"/>
        <color theme="1"/>
        <rFont val="Calibri"/>
        <family val="2"/>
        <scheme val="minor"/>
      </rPr>
      <t xml:space="preserve"> with input and validation by seven transportation and/or logistics companies. </t>
    </r>
  </si>
  <si>
    <t xml:space="preserve">[1] Berwick, Mark, Mohammad Farooq. "Truck Costing Model for Transportation Managers." Upper Great Plains Transportation Institute North Dakota State University (Aug 2003); http://www.mountain-plains.org/pubs/html/mpc-03-152/ </t>
  </si>
  <si>
    <t>[2] www.irs.gov</t>
  </si>
  <si>
    <r>
      <t xml:space="preserve">2. </t>
    </r>
    <r>
      <rPr>
        <u/>
        <sz val="11"/>
        <color theme="1"/>
        <rFont val="Calibri"/>
        <family val="2"/>
        <scheme val="minor"/>
      </rPr>
      <t>Defaults:</t>
    </r>
    <r>
      <rPr>
        <sz val="11"/>
        <color theme="1"/>
        <rFont val="Calibri"/>
        <family val="2"/>
        <scheme val="minor"/>
      </rPr>
      <t xml:space="preserve"> Under the 'Defaults' section: Click the 'Tractor' button. Click the trailer button that corresponds to the trailer type you would like to estimate costs for, either 'Dry Van', 'Faltbed' or 'Log'. Click the 'Misc'. button. The defaults will be placed in the input fields. Click the 'Run Model' button. The costs will appear in the fields in the 'Outputs' section.   </t>
    </r>
  </si>
  <si>
    <r>
      <t xml:space="preserve">3. </t>
    </r>
    <r>
      <rPr>
        <u/>
        <sz val="11"/>
        <color theme="1"/>
        <rFont val="Calibri"/>
        <family val="2"/>
        <scheme val="minor"/>
      </rPr>
      <t>Combination:</t>
    </r>
    <r>
      <rPr>
        <sz val="11"/>
        <color theme="1"/>
        <rFont val="Calibri"/>
        <family val="2"/>
        <scheme val="minor"/>
      </rPr>
      <t xml:space="preserve"> Follow the first two steps of the directions for the 'Defaults' method (#2 above), but before you click the 'Run Model' button, type desired values into the fields in the 'Inputs' section. Click the 'Run Model' button. The costs will appear in the fields in the 'Outputs' section.  </t>
    </r>
  </si>
  <si>
    <t xml:space="preserve">Adjust the formatting of any of the cells in this workbook at your own risk. They have been precisely formatted. Changing it could potentially damage the model.  </t>
  </si>
  <si>
    <t xml:space="preserve">Information on the 'Heavy Highway Use Tax' (form 2290) and the 'Federal Tax Rate' (form 720) was retrieved from the Internal Revenue Services (IRS). </t>
  </si>
  <si>
    <t xml:space="preserve">This model has been developed to estimate costs. Every effort has been made to insure this model’s accuracy; however, the cost outputs of this model may not reflect the actual costs.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</si>
</sst>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000"/>
    <numFmt numFmtId="165" formatCode="&quot;$&quot;#,##0.00"/>
    <numFmt numFmtId="166" formatCode="&quot;$&quot;#,##0"/>
    <numFmt numFmtId="167" formatCode="&quot;$&quot;#,##0.0000"/>
  </numFmts>
  <fonts count="1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u/>
      <sz val="11"/>
      <color theme="10"/>
      <name val="Calibri"/>
      <family val="2"/>
    </font>
    <font>
      <u/>
      <sz val="11"/>
      <color theme="10"/>
      <name val="Calibri"/>
      <family val="2"/>
      <scheme val="minor"/>
    </font>
    <font>
      <u/>
      <sz val="11"/>
      <color indexed="8"/>
      <name val="Calibri"/>
      <family val="2"/>
    </font>
    <font>
      <sz val="11"/>
      <name val="Calibri"/>
      <family val="2"/>
      <scheme val="minor"/>
    </font>
    <font>
      <u/>
      <sz val="11"/>
      <name val="Calibri"/>
      <family val="2"/>
    </font>
    <font>
      <sz val="11"/>
      <name val="Calibri"/>
      <family val="2"/>
    </font>
    <font>
      <b/>
      <sz val="14"/>
      <color theme="1"/>
      <name val="Calibri"/>
      <family val="2"/>
      <scheme val="minor"/>
    </font>
    <font>
      <b/>
      <sz val="18"/>
      <color theme="1"/>
      <name val="Calibri"/>
      <family val="2"/>
      <scheme val="minor"/>
    </font>
    <font>
      <sz val="11"/>
      <color rgb="FF000000"/>
      <name val="Calibri"/>
      <family val="2"/>
      <scheme val="minor"/>
    </font>
    <font>
      <b/>
      <sz val="11"/>
      <name val="Calibri"/>
      <family val="2"/>
      <scheme val="minor"/>
    </font>
    <font>
      <sz val="11"/>
      <color rgb="FFFF0000"/>
      <name val="Calibri"/>
      <family val="2"/>
      <scheme val="minor"/>
    </font>
    <font>
      <i/>
      <sz val="11"/>
      <color theme="1"/>
      <name val="Calibri"/>
      <family val="2"/>
      <scheme val="minor"/>
    </font>
  </fonts>
  <fills count="8">
    <fill>
      <patternFill patternType="none"/>
    </fill>
    <fill>
      <patternFill patternType="gray125"/>
    </fill>
    <fill>
      <patternFill patternType="solid">
        <fgColor theme="2" tint="-0.249977111117893"/>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s>
  <borders count="7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hair">
        <color indexed="64"/>
      </left>
      <right style="hair">
        <color indexed="64"/>
      </right>
      <top style="hair">
        <color auto="1"/>
      </top>
      <bottom style="hair">
        <color indexed="64"/>
      </bottom>
      <diagonal/>
    </border>
    <border>
      <left style="hair">
        <color indexed="64"/>
      </left>
      <right style="thin">
        <color auto="1"/>
      </right>
      <top style="hair">
        <color auto="1"/>
      </top>
      <bottom style="hair">
        <color indexed="64"/>
      </bottom>
      <diagonal/>
    </border>
    <border>
      <left style="hair">
        <color auto="1"/>
      </left>
      <right/>
      <top/>
      <bottom/>
      <diagonal/>
    </border>
    <border>
      <left style="hair">
        <color auto="1"/>
      </left>
      <right/>
      <top/>
      <bottom style="thin">
        <color auto="1"/>
      </bottom>
      <diagonal/>
    </border>
    <border>
      <left/>
      <right style="hair">
        <color indexed="64"/>
      </right>
      <top style="hair">
        <color auto="1"/>
      </top>
      <bottom style="hair">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diagonal/>
    </border>
    <border>
      <left style="medium">
        <color auto="1"/>
      </left>
      <right/>
      <top/>
      <bottom style="hair">
        <color auto="1"/>
      </bottom>
      <diagonal/>
    </border>
    <border>
      <left/>
      <right/>
      <top/>
      <bottom style="hair">
        <color auto="1"/>
      </bottom>
      <diagonal/>
    </border>
    <border>
      <left/>
      <right style="medium">
        <color auto="1"/>
      </right>
      <top/>
      <bottom style="hair">
        <color auto="1"/>
      </bottom>
      <diagonal/>
    </border>
    <border>
      <left style="hair">
        <color auto="1"/>
      </left>
      <right/>
      <top style="hair">
        <color auto="1"/>
      </top>
      <bottom/>
      <diagonal/>
    </border>
    <border>
      <left/>
      <right style="hair">
        <color auto="1"/>
      </right>
      <top style="hair">
        <color auto="1"/>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medium">
        <color auto="1"/>
      </right>
      <top style="medium">
        <color auto="1"/>
      </top>
      <bottom style="hair">
        <color auto="1"/>
      </bottom>
      <diagonal/>
    </border>
    <border>
      <left style="thin">
        <color theme="2" tint="-0.499984740745262"/>
      </left>
      <right style="hair">
        <color indexed="64"/>
      </right>
      <top style="thin">
        <color theme="2" tint="-0.499984740745262"/>
      </top>
      <bottom style="hair">
        <color indexed="64"/>
      </bottom>
      <diagonal/>
    </border>
    <border>
      <left style="hair">
        <color indexed="64"/>
      </left>
      <right style="hair">
        <color indexed="64"/>
      </right>
      <top style="thin">
        <color theme="2" tint="-0.499984740745262"/>
      </top>
      <bottom style="hair">
        <color indexed="64"/>
      </bottom>
      <diagonal/>
    </border>
    <border>
      <left style="hair">
        <color indexed="64"/>
      </left>
      <right style="thin">
        <color theme="2" tint="-0.499984740745262"/>
      </right>
      <top style="thin">
        <color theme="2" tint="-0.499984740745262"/>
      </top>
      <bottom style="hair">
        <color indexed="64"/>
      </bottom>
      <diagonal/>
    </border>
    <border>
      <left style="thin">
        <color theme="2" tint="-0.499984740745262"/>
      </left>
      <right style="hair">
        <color indexed="64"/>
      </right>
      <top style="hair">
        <color indexed="64"/>
      </top>
      <bottom style="thin">
        <color theme="2" tint="-0.499984740745262"/>
      </bottom>
      <diagonal/>
    </border>
    <border>
      <left style="hair">
        <color indexed="64"/>
      </left>
      <right style="hair">
        <color indexed="64"/>
      </right>
      <top style="hair">
        <color indexed="64"/>
      </top>
      <bottom style="thin">
        <color theme="2" tint="-0.499984740745262"/>
      </bottom>
      <diagonal/>
    </border>
    <border>
      <left style="hair">
        <color indexed="64"/>
      </left>
      <right style="thin">
        <color theme="2" tint="-0.499984740745262"/>
      </right>
      <top style="hair">
        <color indexed="64"/>
      </top>
      <bottom style="thin">
        <color theme="2" tint="-0.499984740745262"/>
      </bottom>
      <diagonal/>
    </border>
    <border>
      <left style="hair">
        <color indexed="64"/>
      </left>
      <right/>
      <top style="thin">
        <color theme="2" tint="-0.499984740745262"/>
      </top>
      <bottom style="hair">
        <color indexed="64"/>
      </bottom>
      <diagonal/>
    </border>
    <border>
      <left style="hair">
        <color indexed="64"/>
      </left>
      <right/>
      <top style="hair">
        <color indexed="64"/>
      </top>
      <bottom style="thin">
        <color theme="2" tint="-0.499984740745262"/>
      </bottom>
      <diagonal/>
    </border>
    <border>
      <left/>
      <right style="hair">
        <color indexed="64"/>
      </right>
      <top style="thin">
        <color theme="2" tint="-0.499984740745262"/>
      </top>
      <bottom style="hair">
        <color indexed="64"/>
      </bottom>
      <diagonal/>
    </border>
    <border>
      <left/>
      <right style="hair">
        <color indexed="64"/>
      </right>
      <top style="hair">
        <color indexed="64"/>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right style="thin">
        <color theme="2" tint="-0.499984740745262"/>
      </right>
      <top/>
      <bottom style="thin">
        <color theme="2" tint="-0.499984740745262"/>
      </bottom>
      <diagonal/>
    </border>
    <border>
      <left style="thin">
        <color theme="2" tint="-0.499984740745262"/>
      </left>
      <right/>
      <top/>
      <bottom/>
      <diagonal/>
    </border>
    <border>
      <left/>
      <right style="thin">
        <color theme="2" tint="-0.499984740745262"/>
      </right>
      <top/>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style="thin">
        <color theme="2" tint="-0.499984740745262"/>
      </left>
      <right/>
      <top/>
      <bottom style="hair">
        <color theme="2" tint="-0.499984740745262"/>
      </bottom>
      <diagonal/>
    </border>
    <border>
      <left/>
      <right/>
      <top/>
      <bottom style="hair">
        <color theme="2" tint="-0.499984740745262"/>
      </bottom>
      <diagonal/>
    </border>
    <border>
      <left/>
      <right style="thin">
        <color theme="2" tint="-0.499984740745262"/>
      </right>
      <top/>
      <bottom style="hair">
        <color theme="2" tint="-0.499984740745262"/>
      </bottom>
      <diagonal/>
    </border>
  </borders>
  <cellStyleXfs count="2">
    <xf numFmtId="0" fontId="0" fillId="0" borderId="0"/>
    <xf numFmtId="0" fontId="4" fillId="0" borderId="0" applyNumberFormat="0" applyFill="0" applyBorder="0" applyAlignment="0" applyProtection="0">
      <alignment vertical="top"/>
      <protection locked="0"/>
    </xf>
  </cellStyleXfs>
  <cellXfs count="203">
    <xf numFmtId="0" fontId="0" fillId="0" borderId="0" xfId="0"/>
    <xf numFmtId="0" fontId="0" fillId="0" borderId="0" xfId="0" applyFont="1"/>
    <xf numFmtId="0" fontId="0" fillId="0" borderId="0" xfId="0" applyFont="1" applyFill="1"/>
    <xf numFmtId="0" fontId="3" fillId="0" borderId="0" xfId="0" applyFont="1"/>
    <xf numFmtId="0" fontId="4" fillId="0" borderId="0" xfId="1" applyAlignment="1" applyProtection="1"/>
    <xf numFmtId="0" fontId="5" fillId="0" borderId="0" xfId="1" applyFont="1" applyAlignment="1" applyProtection="1"/>
    <xf numFmtId="0" fontId="7" fillId="0" borderId="0" xfId="1" applyFont="1" applyFill="1" applyBorder="1" applyAlignment="1" applyProtection="1"/>
    <xf numFmtId="0" fontId="2" fillId="3" borderId="0" xfId="0" applyFont="1" applyFill="1" applyBorder="1"/>
    <xf numFmtId="0" fontId="0" fillId="3" borderId="0" xfId="0" applyFont="1" applyFill="1" applyBorder="1"/>
    <xf numFmtId="165" fontId="0" fillId="3" borderId="0" xfId="0" applyNumberFormat="1" applyFont="1" applyFill="1" applyBorder="1"/>
    <xf numFmtId="0" fontId="10" fillId="3" borderId="0" xfId="0" applyFont="1" applyFill="1" applyBorder="1" applyAlignment="1"/>
    <xf numFmtId="0" fontId="0" fillId="3" borderId="5" xfId="0" applyFill="1" applyBorder="1"/>
    <xf numFmtId="0" fontId="0" fillId="3" borderId="4" xfId="0" applyFill="1" applyBorder="1"/>
    <xf numFmtId="0" fontId="0" fillId="3" borderId="7" xfId="0" applyFill="1" applyBorder="1"/>
    <xf numFmtId="0" fontId="0" fillId="3" borderId="8" xfId="0" applyFill="1" applyBorder="1" applyAlignment="1"/>
    <xf numFmtId="0" fontId="0" fillId="3" borderId="7" xfId="0" applyFill="1" applyBorder="1" applyAlignment="1"/>
    <xf numFmtId="0" fontId="0" fillId="3" borderId="0" xfId="0" applyFill="1" applyBorder="1"/>
    <xf numFmtId="0" fontId="0" fillId="3" borderId="6" xfId="0" applyFill="1" applyBorder="1" applyAlignment="1"/>
    <xf numFmtId="0" fontId="1" fillId="3" borderId="0" xfId="0" applyFont="1" applyFill="1" applyBorder="1"/>
    <xf numFmtId="0" fontId="0" fillId="3" borderId="0" xfId="0" applyFill="1" applyBorder="1" applyAlignment="1"/>
    <xf numFmtId="0" fontId="1" fillId="3" borderId="10" xfId="0" applyFont="1" applyFill="1" applyBorder="1" applyAlignment="1">
      <alignment horizontal="center"/>
    </xf>
    <xf numFmtId="0" fontId="10" fillId="3" borderId="10"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3" borderId="9" xfId="0" applyFill="1" applyBorder="1"/>
    <xf numFmtId="0" fontId="0" fillId="3" borderId="10" xfId="0" applyFill="1" applyBorder="1" applyAlignment="1">
      <alignment horizontal="center"/>
    </xf>
    <xf numFmtId="0" fontId="0" fillId="3" borderId="11" xfId="0" applyFill="1" applyBorder="1"/>
    <xf numFmtId="0" fontId="0" fillId="3" borderId="12" xfId="0" applyFill="1" applyBorder="1"/>
    <xf numFmtId="0" fontId="0" fillId="3" borderId="13" xfId="0" applyFill="1" applyBorder="1"/>
    <xf numFmtId="0" fontId="0" fillId="3" borderId="21" xfId="0" applyFill="1" applyBorder="1"/>
    <xf numFmtId="0" fontId="0" fillId="3" borderId="22" xfId="0" applyFill="1" applyBorder="1"/>
    <xf numFmtId="0" fontId="0" fillId="3" borderId="8" xfId="0" applyFont="1" applyFill="1" applyBorder="1"/>
    <xf numFmtId="166" fontId="0" fillId="3" borderId="8" xfId="0" applyNumberFormat="1" applyFont="1" applyFill="1" applyBorder="1"/>
    <xf numFmtId="0" fontId="10" fillId="3" borderId="9" xfId="0" applyFont="1" applyFill="1" applyBorder="1" applyAlignment="1"/>
    <xf numFmtId="1" fontId="0" fillId="0" borderId="27" xfId="0" applyNumberFormat="1" applyFont="1" applyFill="1" applyBorder="1"/>
    <xf numFmtId="9" fontId="0" fillId="0" borderId="27" xfId="0" applyNumberFormat="1" applyFont="1" applyFill="1" applyBorder="1"/>
    <xf numFmtId="164" fontId="0" fillId="0" borderId="27" xfId="0" applyNumberFormat="1" applyFont="1" applyFill="1" applyBorder="1"/>
    <xf numFmtId="2" fontId="0" fillId="0" borderId="27" xfId="0" applyNumberFormat="1" applyFont="1" applyFill="1" applyBorder="1"/>
    <xf numFmtId="0" fontId="1" fillId="0" borderId="0" xfId="0" applyFont="1"/>
    <xf numFmtId="0" fontId="2" fillId="0" borderId="0" xfId="0" applyFont="1"/>
    <xf numFmtId="0" fontId="0" fillId="0" borderId="0" xfId="0" applyFont="1" applyFill="1" applyBorder="1"/>
    <xf numFmtId="1" fontId="0" fillId="0" borderId="28" xfId="0" applyNumberFormat="1" applyFont="1" applyFill="1" applyBorder="1"/>
    <xf numFmtId="1" fontId="0" fillId="6" borderId="28" xfId="0" applyNumberFormat="1" applyFont="1" applyFill="1" applyBorder="1"/>
    <xf numFmtId="164" fontId="0" fillId="4" borderId="28" xfId="0" applyNumberFormat="1" applyFont="1" applyFill="1" applyBorder="1"/>
    <xf numFmtId="2" fontId="0" fillId="6" borderId="28" xfId="0" applyNumberFormat="1" applyFont="1" applyFill="1" applyBorder="1"/>
    <xf numFmtId="9" fontId="0" fillId="6" borderId="28" xfId="0" applyNumberFormat="1" applyFont="1" applyFill="1" applyBorder="1"/>
    <xf numFmtId="165" fontId="0" fillId="0" borderId="28" xfId="0" applyNumberFormat="1" applyFont="1" applyFill="1" applyBorder="1"/>
    <xf numFmtId="2" fontId="0" fillId="0" borderId="0" xfId="0" applyNumberFormat="1" applyFont="1" applyFill="1"/>
    <xf numFmtId="2" fontId="0" fillId="5" borderId="28" xfId="0" applyNumberFormat="1" applyFont="1" applyFill="1" applyBorder="1"/>
    <xf numFmtId="0" fontId="0" fillId="0" borderId="0" xfId="0" applyFill="1"/>
    <xf numFmtId="2" fontId="0" fillId="0" borderId="28" xfId="0" applyNumberFormat="1" applyFont="1" applyFill="1" applyBorder="1"/>
    <xf numFmtId="165" fontId="12" fillId="4" borderId="28" xfId="0" applyNumberFormat="1" applyFont="1" applyFill="1" applyBorder="1"/>
    <xf numFmtId="166" fontId="0" fillId="6" borderId="28" xfId="0" applyNumberFormat="1" applyFont="1" applyFill="1" applyBorder="1"/>
    <xf numFmtId="167" fontId="0" fillId="0" borderId="28" xfId="0" applyNumberFormat="1" applyFont="1" applyFill="1" applyBorder="1"/>
    <xf numFmtId="167" fontId="0" fillId="6" borderId="28" xfId="0" applyNumberFormat="1" applyFont="1" applyFill="1" applyBorder="1"/>
    <xf numFmtId="165" fontId="1" fillId="0" borderId="28" xfId="0" applyNumberFormat="1" applyFont="1" applyFill="1" applyBorder="1"/>
    <xf numFmtId="167" fontId="1" fillId="0" borderId="28" xfId="0" applyNumberFormat="1" applyFont="1" applyFill="1" applyBorder="1"/>
    <xf numFmtId="166" fontId="0" fillId="0" borderId="28" xfId="0" applyNumberFormat="1" applyFont="1" applyFill="1" applyBorder="1"/>
    <xf numFmtId="9" fontId="0" fillId="0" borderId="28" xfId="0" applyNumberFormat="1" applyFont="1" applyFill="1" applyBorder="1"/>
    <xf numFmtId="165" fontId="0" fillId="0" borderId="0" xfId="0" applyNumberFormat="1" applyFont="1" applyFill="1" applyBorder="1"/>
    <xf numFmtId="3" fontId="0" fillId="6" borderId="28" xfId="0" applyNumberFormat="1" applyFont="1" applyFill="1" applyBorder="1"/>
    <xf numFmtId="166" fontId="0" fillId="0" borderId="28" xfId="0" applyNumberFormat="1" applyFont="1" applyFill="1" applyBorder="1" applyAlignment="1">
      <alignment horizontal="right"/>
    </xf>
    <xf numFmtId="0" fontId="0" fillId="6" borderId="28" xfId="0" applyFont="1" applyFill="1" applyBorder="1"/>
    <xf numFmtId="0" fontId="2" fillId="0" borderId="0" xfId="0" applyFont="1" applyFill="1" applyBorder="1"/>
    <xf numFmtId="166" fontId="0" fillId="0" borderId="27" xfId="0" applyNumberFormat="1" applyFont="1" applyFill="1" applyBorder="1" applyAlignment="1">
      <alignment horizontal="right"/>
    </xf>
    <xf numFmtId="1" fontId="0" fillId="0" borderId="27" xfId="0" applyNumberFormat="1" applyFont="1" applyFill="1" applyBorder="1" applyAlignment="1">
      <alignment horizontal="right"/>
    </xf>
    <xf numFmtId="167" fontId="0" fillId="0" borderId="27" xfId="0" applyNumberFormat="1" applyFont="1" applyFill="1" applyBorder="1" applyAlignment="1">
      <alignment horizontal="right"/>
    </xf>
    <xf numFmtId="9" fontId="0" fillId="0" borderId="27" xfId="0" applyNumberFormat="1" applyFont="1" applyFill="1" applyBorder="1" applyAlignment="1">
      <alignment horizontal="right"/>
    </xf>
    <xf numFmtId="3" fontId="0" fillId="0" borderId="27" xfId="0" applyNumberFormat="1" applyFont="1" applyFill="1" applyBorder="1" applyAlignment="1">
      <alignment horizontal="right"/>
    </xf>
    <xf numFmtId="0" fontId="0" fillId="0" borderId="27" xfId="0" applyFont="1" applyFill="1" applyBorder="1" applyAlignment="1">
      <alignment horizontal="right"/>
    </xf>
    <xf numFmtId="165" fontId="13" fillId="2" borderId="27" xfId="0" applyNumberFormat="1" applyFont="1" applyFill="1" applyBorder="1"/>
    <xf numFmtId="165" fontId="0" fillId="2" borderId="27" xfId="0" applyNumberFormat="1"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0" fillId="7" borderId="0" xfId="0" applyFill="1"/>
    <xf numFmtId="0" fontId="10" fillId="3" borderId="15" xfId="0" applyFont="1" applyFill="1" applyBorder="1" applyAlignment="1">
      <alignment horizontal="center"/>
    </xf>
    <xf numFmtId="0" fontId="0" fillId="3" borderId="36" xfId="0" applyFill="1" applyBorder="1"/>
    <xf numFmtId="0" fontId="0" fillId="3" borderId="38" xfId="0" applyFill="1" applyBorder="1"/>
    <xf numFmtId="0" fontId="0" fillId="3" borderId="15" xfId="0" applyFill="1" applyBorder="1"/>
    <xf numFmtId="0" fontId="0" fillId="3" borderId="40" xfId="0" applyFill="1" applyBorder="1"/>
    <xf numFmtId="0" fontId="0" fillId="3" borderId="41" xfId="0" applyFill="1" applyBorder="1"/>
    <xf numFmtId="0" fontId="0" fillId="3" borderId="42" xfId="0" applyFill="1" applyBorder="1"/>
    <xf numFmtId="0" fontId="0" fillId="3" borderId="43" xfId="0" applyFill="1" applyBorder="1"/>
    <xf numFmtId="0" fontId="0" fillId="3" borderId="44" xfId="0" applyFill="1" applyBorder="1"/>
    <xf numFmtId="0" fontId="0" fillId="3" borderId="9" xfId="0" applyFont="1" applyFill="1" applyBorder="1"/>
    <xf numFmtId="0" fontId="0" fillId="3" borderId="10" xfId="0" applyFont="1" applyFill="1" applyBorder="1"/>
    <xf numFmtId="0" fontId="0" fillId="3" borderId="45" xfId="0" applyFill="1" applyBorder="1"/>
    <xf numFmtId="0" fontId="0" fillId="3" borderId="2" xfId="0" applyFill="1" applyBorder="1"/>
    <xf numFmtId="0" fontId="0" fillId="3" borderId="46" xfId="0" applyFill="1" applyBorder="1"/>
    <xf numFmtId="0" fontId="0" fillId="0" borderId="0" xfId="0" applyAlignment="1">
      <alignment vertical="top"/>
    </xf>
    <xf numFmtId="2" fontId="0" fillId="3" borderId="0" xfId="0" applyNumberFormat="1" applyFill="1" applyBorder="1"/>
    <xf numFmtId="0" fontId="0" fillId="0" borderId="0" xfId="0" applyAlignment="1">
      <alignment vertical="top" wrapText="1"/>
    </xf>
    <xf numFmtId="0" fontId="0" fillId="0" borderId="0" xfId="0" applyAlignment="1">
      <alignment wrapText="1"/>
    </xf>
    <xf numFmtId="0" fontId="0" fillId="0" borderId="0" xfId="0" applyAlignment="1"/>
    <xf numFmtId="0" fontId="0" fillId="7" borderId="0" xfId="0" applyFill="1" applyAlignment="1">
      <alignment horizontal="left"/>
    </xf>
    <xf numFmtId="0" fontId="0" fillId="7" borderId="0" xfId="0" applyFill="1" applyAlignment="1"/>
    <xf numFmtId="0" fontId="3" fillId="7" borderId="0" xfId="0" applyFont="1" applyFill="1" applyAlignment="1"/>
    <xf numFmtId="0" fontId="0" fillId="7" borderId="0" xfId="0" applyFill="1" applyAlignment="1">
      <alignment wrapText="1"/>
    </xf>
    <xf numFmtId="0" fontId="0" fillId="7" borderId="0" xfId="0" applyFill="1" applyAlignment="1">
      <alignment vertical="top" wrapText="1"/>
    </xf>
    <xf numFmtId="0" fontId="0" fillId="7" borderId="0" xfId="0" applyFill="1" applyAlignment="1">
      <alignment vertical="top"/>
    </xf>
    <xf numFmtId="167" fontId="13" fillId="2" borderId="27" xfId="0" applyNumberFormat="1" applyFont="1" applyFill="1" applyBorder="1"/>
    <xf numFmtId="167" fontId="0" fillId="2" borderId="27" xfId="0" applyNumberFormat="1" applyFill="1" applyBorder="1"/>
    <xf numFmtId="0" fontId="11" fillId="3" borderId="24" xfId="0" applyFont="1" applyFill="1" applyBorder="1" applyAlignment="1">
      <alignment horizontal="center" vertical="center"/>
    </xf>
    <xf numFmtId="0" fontId="11" fillId="3" borderId="25" xfId="0" applyFont="1" applyFill="1" applyBorder="1" applyAlignment="1">
      <alignment horizontal="center" vertical="center"/>
    </xf>
    <xf numFmtId="0" fontId="11" fillId="3" borderId="26" xfId="0" applyFont="1" applyFill="1" applyBorder="1" applyAlignment="1">
      <alignment horizontal="center" vertical="center"/>
    </xf>
    <xf numFmtId="0" fontId="10" fillId="3" borderId="15" xfId="0" applyFont="1"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0" fontId="0" fillId="3" borderId="7" xfId="0" applyFill="1" applyBorder="1" applyAlignment="1">
      <alignment horizontal="center"/>
    </xf>
    <xf numFmtId="0" fontId="0" fillId="3" borderId="4" xfId="0" applyFill="1" applyBorder="1" applyAlignment="1">
      <alignment horizontal="center"/>
    </xf>
    <xf numFmtId="0" fontId="0" fillId="3" borderId="0" xfId="0" applyFill="1" applyBorder="1" applyAlignment="1">
      <alignment horizontal="center"/>
    </xf>
    <xf numFmtId="0" fontId="0" fillId="3" borderId="5" xfId="0" applyFill="1" applyBorder="1" applyAlignment="1">
      <alignment horizontal="center"/>
    </xf>
    <xf numFmtId="0" fontId="0" fillId="2" borderId="0" xfId="0" applyFill="1" applyBorder="1" applyAlignment="1">
      <alignment horizontal="center" vertical="center"/>
    </xf>
    <xf numFmtId="0" fontId="3" fillId="3" borderId="19" xfId="0" applyFont="1" applyFill="1" applyBorder="1" applyAlignment="1">
      <alignment horizontal="center"/>
    </xf>
    <xf numFmtId="0" fontId="3" fillId="3" borderId="20" xfId="0" applyFont="1" applyFill="1" applyBorder="1" applyAlignment="1">
      <alignment horizontal="center"/>
    </xf>
    <xf numFmtId="0" fontId="10" fillId="3" borderId="16" xfId="0" applyFont="1" applyFill="1" applyBorder="1" applyAlignment="1">
      <alignment horizontal="center"/>
    </xf>
    <xf numFmtId="0" fontId="10" fillId="3" borderId="17" xfId="0" applyFont="1" applyFill="1" applyBorder="1" applyAlignment="1">
      <alignment horizontal="center"/>
    </xf>
    <xf numFmtId="0" fontId="10" fillId="3" borderId="18" xfId="0" applyFont="1" applyFill="1" applyBorder="1" applyAlignment="1">
      <alignment horizontal="center"/>
    </xf>
    <xf numFmtId="0" fontId="0" fillId="0" borderId="17" xfId="0" applyBorder="1"/>
    <xf numFmtId="0" fontId="0" fillId="0" borderId="18" xfId="0" applyBorder="1"/>
    <xf numFmtId="0" fontId="0" fillId="3" borderId="0" xfId="0" applyFill="1" applyBorder="1" applyAlignment="1">
      <alignment horizontal="left"/>
    </xf>
    <xf numFmtId="2" fontId="0" fillId="0" borderId="29" xfId="0" applyNumberFormat="1" applyFont="1" applyFill="1" applyBorder="1" applyAlignment="1">
      <alignment horizontal="right"/>
    </xf>
    <xf numFmtId="2" fontId="0" fillId="0" borderId="30" xfId="0" applyNumberFormat="1" applyFont="1" applyFill="1" applyBorder="1" applyAlignment="1">
      <alignment horizontal="right"/>
    </xf>
    <xf numFmtId="0" fontId="3" fillId="3" borderId="14" xfId="0" applyFont="1" applyFill="1" applyBorder="1" applyAlignment="1">
      <alignment horizontal="center"/>
    </xf>
    <xf numFmtId="0" fontId="3" fillId="3" borderId="15" xfId="0" applyFont="1" applyFill="1" applyBorder="1" applyAlignment="1">
      <alignment horizontal="center"/>
    </xf>
    <xf numFmtId="0" fontId="3" fillId="3" borderId="23" xfId="0" applyFont="1" applyFill="1" applyBorder="1" applyAlignment="1">
      <alignment horizontal="center"/>
    </xf>
    <xf numFmtId="0" fontId="0" fillId="3" borderId="1" xfId="0" applyFont="1" applyFill="1" applyBorder="1" applyAlignment="1">
      <alignment horizontal="center"/>
    </xf>
    <xf numFmtId="0" fontId="0" fillId="3" borderId="2" xfId="0" applyFont="1" applyFill="1" applyBorder="1" applyAlignment="1">
      <alignment horizontal="center"/>
    </xf>
    <xf numFmtId="0" fontId="0" fillId="3" borderId="3" xfId="0" applyFont="1" applyFill="1" applyBorder="1" applyAlignment="1">
      <alignment horizontal="center"/>
    </xf>
    <xf numFmtId="0" fontId="0" fillId="3" borderId="0" xfId="0" applyFont="1" applyFill="1" applyBorder="1" applyAlignment="1">
      <alignment horizontal="left"/>
    </xf>
    <xf numFmtId="0" fontId="9" fillId="2" borderId="9" xfId="1" applyFont="1" applyFill="1" applyBorder="1" applyAlignment="1" applyProtection="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1" fillId="2" borderId="3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35"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13" xfId="0" applyFont="1" applyFill="1" applyBorder="1" applyAlignment="1">
      <alignment horizontal="center" vertical="center"/>
    </xf>
    <xf numFmtId="0" fontId="0" fillId="2" borderId="37" xfId="0" applyFill="1" applyBorder="1" applyAlignment="1">
      <alignment horizontal="center" vertical="center"/>
    </xf>
    <xf numFmtId="0" fontId="0" fillId="2" borderId="38" xfId="0" applyFill="1" applyBorder="1" applyAlignment="1">
      <alignment horizontal="center" vertical="center"/>
    </xf>
    <xf numFmtId="0" fontId="0" fillId="2" borderId="39" xfId="0" applyFill="1" applyBorder="1" applyAlignment="1">
      <alignment horizontal="center" vertical="center"/>
    </xf>
    <xf numFmtId="0" fontId="8" fillId="2" borderId="9" xfId="1" applyFont="1" applyFill="1" applyBorder="1" applyAlignment="1" applyProtection="1">
      <alignment horizontal="center" vertical="center"/>
    </xf>
    <xf numFmtId="0" fontId="1" fillId="2" borderId="47" xfId="0" applyFont="1" applyFill="1" applyBorder="1" applyAlignment="1">
      <alignment horizontal="center" vertical="center"/>
    </xf>
    <xf numFmtId="0" fontId="1" fillId="2" borderId="48" xfId="0" applyFont="1" applyFill="1" applyBorder="1" applyAlignment="1">
      <alignment horizontal="center" vertical="center"/>
    </xf>
    <xf numFmtId="0" fontId="1" fillId="2" borderId="49" xfId="0" applyFont="1"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3" borderId="63" xfId="0" applyFill="1" applyBorder="1" applyAlignment="1">
      <alignment horizontal="left"/>
    </xf>
    <xf numFmtId="0" fontId="0" fillId="3" borderId="64" xfId="0" applyFill="1" applyBorder="1" applyAlignment="1">
      <alignment horizontal="left"/>
    </xf>
    <xf numFmtId="0" fontId="0" fillId="3" borderId="65" xfId="0" applyFill="1" applyBorder="1" applyAlignment="1">
      <alignment horizontal="left"/>
    </xf>
    <xf numFmtId="0" fontId="3" fillId="2" borderId="68" xfId="0" applyFont="1" applyFill="1" applyBorder="1" applyAlignment="1">
      <alignment horizontal="left"/>
    </xf>
    <xf numFmtId="0" fontId="3" fillId="2" borderId="69" xfId="0" applyFont="1" applyFill="1" applyBorder="1" applyAlignment="1">
      <alignment horizontal="left"/>
    </xf>
    <xf numFmtId="0" fontId="3" fillId="2" borderId="70" xfId="0" applyFont="1" applyFill="1" applyBorder="1" applyAlignment="1">
      <alignment horizontal="left"/>
    </xf>
    <xf numFmtId="0" fontId="0" fillId="3" borderId="66" xfId="0" applyFill="1" applyBorder="1" applyAlignment="1">
      <alignment horizontal="left" wrapText="1"/>
    </xf>
    <xf numFmtId="0" fontId="0" fillId="3" borderId="0" xfId="0" applyFill="1" applyBorder="1" applyAlignment="1">
      <alignment horizontal="left" wrapText="1"/>
    </xf>
    <xf numFmtId="0" fontId="0" fillId="3" borderId="67" xfId="0" applyFill="1" applyBorder="1" applyAlignment="1">
      <alignment horizontal="left" wrapText="1"/>
    </xf>
    <xf numFmtId="0" fontId="0" fillId="3" borderId="66" xfId="0" applyFill="1" applyBorder="1" applyAlignment="1">
      <alignment horizontal="left"/>
    </xf>
    <xf numFmtId="0" fontId="0" fillId="3" borderId="67" xfId="0" applyFill="1" applyBorder="1" applyAlignment="1">
      <alignment horizontal="left"/>
    </xf>
    <xf numFmtId="0" fontId="0" fillId="3" borderId="63" xfId="0" applyFill="1" applyBorder="1" applyAlignment="1">
      <alignment horizontal="left" wrapText="1"/>
    </xf>
    <xf numFmtId="0" fontId="0" fillId="3" borderId="64" xfId="0" applyFill="1" applyBorder="1" applyAlignment="1">
      <alignment horizontal="left" wrapText="1"/>
    </xf>
    <xf numFmtId="0" fontId="0" fillId="3" borderId="65" xfId="0" applyFill="1" applyBorder="1" applyAlignment="1">
      <alignment horizontal="left" wrapText="1"/>
    </xf>
    <xf numFmtId="0" fontId="3" fillId="3" borderId="0" xfId="0" applyFont="1" applyFill="1" applyBorder="1" applyAlignment="1">
      <alignment horizontal="left"/>
    </xf>
    <xf numFmtId="0" fontId="3" fillId="3" borderId="67" xfId="0" applyFont="1" applyFill="1" applyBorder="1" applyAlignment="1">
      <alignment horizontal="left"/>
    </xf>
    <xf numFmtId="0" fontId="1" fillId="3" borderId="27" xfId="0" applyFont="1" applyFill="1" applyBorder="1" applyAlignment="1">
      <alignment horizontal="left"/>
    </xf>
    <xf numFmtId="0" fontId="0" fillId="3" borderId="50" xfId="0" applyFill="1" applyBorder="1" applyAlignment="1">
      <alignment horizontal="left"/>
    </xf>
    <xf numFmtId="0" fontId="0" fillId="3" borderId="56" xfId="0" applyFill="1" applyBorder="1" applyAlignment="1">
      <alignment horizontal="left"/>
    </xf>
    <xf numFmtId="0" fontId="0" fillId="3" borderId="53" xfId="0" applyFill="1" applyBorder="1" applyAlignment="1">
      <alignment horizontal="left"/>
    </xf>
    <xf numFmtId="0" fontId="0" fillId="3" borderId="57" xfId="0" applyFill="1" applyBorder="1" applyAlignment="1">
      <alignment horizontal="left"/>
    </xf>
    <xf numFmtId="0" fontId="0" fillId="3" borderId="51" xfId="0" applyFill="1" applyBorder="1" applyAlignment="1">
      <alignment horizontal="left"/>
    </xf>
    <xf numFmtId="0" fontId="0" fillId="3" borderId="52" xfId="0" applyFill="1" applyBorder="1" applyAlignment="1">
      <alignment horizontal="left"/>
    </xf>
    <xf numFmtId="0" fontId="0" fillId="3" borderId="54" xfId="0" applyFill="1" applyBorder="1" applyAlignment="1">
      <alignment horizontal="left"/>
    </xf>
    <xf numFmtId="0" fontId="0" fillId="3" borderId="55" xfId="0" applyFill="1" applyBorder="1" applyAlignment="1">
      <alignment horizontal="left"/>
    </xf>
    <xf numFmtId="0" fontId="4" fillId="3" borderId="58" xfId="1" applyFill="1" applyBorder="1" applyAlignment="1" applyProtection="1">
      <alignment horizontal="left"/>
    </xf>
    <xf numFmtId="0" fontId="4" fillId="3" borderId="51" xfId="1" applyFill="1" applyBorder="1" applyAlignment="1" applyProtection="1">
      <alignment horizontal="left"/>
    </xf>
    <xf numFmtId="0" fontId="4" fillId="3" borderId="52" xfId="1" applyFill="1" applyBorder="1" applyAlignment="1" applyProtection="1">
      <alignment horizontal="left"/>
    </xf>
    <xf numFmtId="0" fontId="4" fillId="3" borderId="59" xfId="1" applyFill="1" applyBorder="1" applyAlignment="1" applyProtection="1">
      <alignment horizontal="left"/>
    </xf>
    <xf numFmtId="0" fontId="4" fillId="3" borderId="54" xfId="1" applyFill="1" applyBorder="1" applyAlignment="1" applyProtection="1">
      <alignment horizontal="left"/>
    </xf>
    <xf numFmtId="0" fontId="4" fillId="3" borderId="55" xfId="1" applyFill="1" applyBorder="1" applyAlignment="1" applyProtection="1">
      <alignment horizontal="left"/>
    </xf>
    <xf numFmtId="0" fontId="7" fillId="3" borderId="68" xfId="0" applyFont="1" applyFill="1" applyBorder="1" applyAlignment="1">
      <alignment horizontal="left" wrapText="1"/>
    </xf>
    <xf numFmtId="0" fontId="14" fillId="3" borderId="69" xfId="0" applyFont="1" applyFill="1" applyBorder="1" applyAlignment="1">
      <alignment horizontal="left" wrapText="1"/>
    </xf>
    <xf numFmtId="0" fontId="14" fillId="3" borderId="70" xfId="0" applyFont="1" applyFill="1" applyBorder="1" applyAlignment="1">
      <alignment horizontal="left" wrapText="1"/>
    </xf>
    <xf numFmtId="0" fontId="0" fillId="3" borderId="60" xfId="0" applyFill="1" applyBorder="1" applyAlignment="1">
      <alignment horizontal="left" vertical="top" wrapText="1"/>
    </xf>
    <xf numFmtId="0" fontId="0" fillId="3" borderId="61" xfId="0" applyFont="1" applyFill="1" applyBorder="1" applyAlignment="1">
      <alignment horizontal="left" vertical="top" wrapText="1"/>
    </xf>
    <xf numFmtId="0" fontId="0" fillId="3" borderId="62" xfId="0" applyFont="1" applyFill="1" applyBorder="1" applyAlignment="1">
      <alignment horizontal="left" vertical="top" wrapText="1"/>
    </xf>
    <xf numFmtId="0" fontId="0" fillId="3" borderId="71" xfId="0" applyFill="1" applyBorder="1" applyAlignment="1">
      <alignment horizontal="left" vertical="top" wrapText="1"/>
    </xf>
    <xf numFmtId="0" fontId="0" fillId="3" borderId="72" xfId="0" applyFill="1" applyBorder="1" applyAlignment="1">
      <alignment horizontal="left" vertical="top" wrapText="1"/>
    </xf>
    <xf numFmtId="0" fontId="0" fillId="3" borderId="73" xfId="0" applyFill="1" applyBorder="1" applyAlignment="1">
      <alignment horizontal="left" vertical="top" wrapText="1"/>
    </xf>
    <xf numFmtId="0" fontId="7" fillId="3" borderId="60" xfId="0" applyFont="1" applyFill="1" applyBorder="1" applyAlignment="1">
      <alignment horizontal="left"/>
    </xf>
    <xf numFmtId="0" fontId="7" fillId="3" borderId="61" xfId="0" applyFont="1" applyFill="1" applyBorder="1" applyAlignment="1">
      <alignment horizontal="left"/>
    </xf>
    <xf numFmtId="0" fontId="7" fillId="3" borderId="62" xfId="0" applyFont="1" applyFill="1" applyBorder="1" applyAlignment="1">
      <alignment horizontal="left"/>
    </xf>
    <xf numFmtId="0" fontId="7" fillId="3" borderId="66" xfId="0" applyFont="1" applyFill="1" applyBorder="1" applyAlignment="1">
      <alignment horizontal="left"/>
    </xf>
    <xf numFmtId="0" fontId="7" fillId="3" borderId="0" xfId="0" applyFont="1" applyFill="1" applyBorder="1" applyAlignment="1">
      <alignment horizontal="left"/>
    </xf>
    <xf numFmtId="0" fontId="7" fillId="3" borderId="67" xfId="0" applyFont="1" applyFill="1" applyBorder="1" applyAlignment="1">
      <alignment horizontal="left"/>
    </xf>
    <xf numFmtId="0" fontId="8" fillId="3" borderId="66" xfId="1" applyFont="1" applyFill="1" applyBorder="1" applyAlignment="1" applyProtection="1">
      <alignment horizontal="left"/>
    </xf>
    <xf numFmtId="0" fontId="8" fillId="3" borderId="0" xfId="1" applyFont="1" applyFill="1" applyBorder="1" applyAlignment="1" applyProtection="1">
      <alignment horizontal="left"/>
    </xf>
    <xf numFmtId="0" fontId="8" fillId="3" borderId="67" xfId="1" applyFont="1" applyFill="1" applyBorder="1" applyAlignment="1" applyProtection="1">
      <alignment horizontal="left"/>
    </xf>
    <xf numFmtId="0" fontId="7" fillId="3" borderId="63" xfId="0" applyFont="1" applyFill="1" applyBorder="1" applyAlignment="1">
      <alignment horizontal="left"/>
    </xf>
    <xf numFmtId="0" fontId="7" fillId="3" borderId="64" xfId="0" applyFont="1" applyFill="1" applyBorder="1" applyAlignment="1">
      <alignment horizontal="left"/>
    </xf>
    <xf numFmtId="0" fontId="7" fillId="3" borderId="65" xfId="0" applyFont="1" applyFill="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5</xdr:col>
      <xdr:colOff>60261</xdr:colOff>
      <xdr:row>19</xdr:row>
      <xdr:rowOff>43403</xdr:rowOff>
    </xdr:from>
    <xdr:ext cx="3625914" cy="405432"/>
    <xdr:sp macro="[0]!macroAutorunTruckingCostModel" textlink="">
      <xdr:nvSpPr>
        <xdr:cNvPr id="3" name="Rectangle 2"/>
        <xdr:cNvSpPr/>
      </xdr:nvSpPr>
      <xdr:spPr>
        <a:xfrm>
          <a:off x="4032186" y="3615278"/>
          <a:ext cx="3625914" cy="405432"/>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2000" b="1" cap="none" spc="150">
              <a:ln w="11430">
                <a:solidFill>
                  <a:schemeClr val="bg2">
                    <a:lumMod val="75000"/>
                  </a:schemeClr>
                </a:solidFill>
              </a:ln>
              <a:solidFill>
                <a:schemeClr val="bg2">
                  <a:lumMod val="50000"/>
                </a:schemeClr>
              </a:solidFill>
              <a:effectLst>
                <a:outerShdw blurRad="25400" algn="tl" rotWithShape="0">
                  <a:srgbClr val="000000">
                    <a:alpha val="43000"/>
                  </a:srgbClr>
                </a:outerShdw>
              </a:effectLst>
            </a:rPr>
            <a:t>Run Model</a:t>
          </a:r>
        </a:p>
      </xdr:txBody>
    </xdr:sp>
    <xdr:clientData/>
  </xdr:oneCellAnchor>
  <xdr:oneCellAnchor>
    <xdr:from>
      <xdr:col>12</xdr:col>
      <xdr:colOff>12635</xdr:colOff>
      <xdr:row>4</xdr:row>
      <xdr:rowOff>539</xdr:rowOff>
    </xdr:from>
    <xdr:ext cx="1188720" cy="365760"/>
    <xdr:sp macro="[0]!macroDefaultInputs_Tractor" textlink="">
      <xdr:nvSpPr>
        <xdr:cNvPr id="4" name="Rectangle 3"/>
        <xdr:cNvSpPr/>
      </xdr:nvSpPr>
      <xdr:spPr>
        <a:xfrm>
          <a:off x="8566085" y="810164"/>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Tractor</a:t>
          </a:r>
        </a:p>
      </xdr:txBody>
    </xdr:sp>
    <xdr:clientData/>
  </xdr:oneCellAnchor>
  <xdr:oneCellAnchor>
    <xdr:from>
      <xdr:col>12</xdr:col>
      <xdr:colOff>3110</xdr:colOff>
      <xdr:row>7</xdr:row>
      <xdr:rowOff>76200</xdr:rowOff>
    </xdr:from>
    <xdr:ext cx="1188720" cy="365760"/>
    <xdr:sp macro="[0]!macroDefaultInputs_DryVan" textlink="">
      <xdr:nvSpPr>
        <xdr:cNvPr id="5" name="Rectangle 4"/>
        <xdr:cNvSpPr/>
      </xdr:nvSpPr>
      <xdr:spPr>
        <a:xfrm>
          <a:off x="8251760" y="1457325"/>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Dry Van</a:t>
          </a:r>
        </a:p>
      </xdr:txBody>
    </xdr:sp>
    <xdr:clientData/>
  </xdr:oneCellAnchor>
  <xdr:oneCellAnchor>
    <xdr:from>
      <xdr:col>12</xdr:col>
      <xdr:colOff>12635</xdr:colOff>
      <xdr:row>10</xdr:row>
      <xdr:rowOff>9525</xdr:rowOff>
    </xdr:from>
    <xdr:ext cx="1188720" cy="365760"/>
    <xdr:sp macro="[0]!macroDefaultInputs_Flatbed" textlink="">
      <xdr:nvSpPr>
        <xdr:cNvPr id="6" name="Rectangle 5"/>
        <xdr:cNvSpPr/>
      </xdr:nvSpPr>
      <xdr:spPr>
        <a:xfrm>
          <a:off x="8566085" y="1962150"/>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Flatbed</a:t>
          </a:r>
        </a:p>
      </xdr:txBody>
    </xdr:sp>
    <xdr:clientData/>
  </xdr:oneCellAnchor>
  <xdr:oneCellAnchor>
    <xdr:from>
      <xdr:col>12</xdr:col>
      <xdr:colOff>12635</xdr:colOff>
      <xdr:row>12</xdr:row>
      <xdr:rowOff>104775</xdr:rowOff>
    </xdr:from>
    <xdr:ext cx="1188720" cy="365760"/>
    <xdr:sp macro="[0]!macroDefaultInputs_Log" textlink="">
      <xdr:nvSpPr>
        <xdr:cNvPr id="7" name="Rectangle 6"/>
        <xdr:cNvSpPr/>
      </xdr:nvSpPr>
      <xdr:spPr>
        <a:xfrm>
          <a:off x="8261285" y="2438400"/>
          <a:ext cx="1188720" cy="365760"/>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Log</a:t>
          </a:r>
        </a:p>
      </xdr:txBody>
    </xdr:sp>
    <xdr:clientData/>
  </xdr:oneCellAnchor>
  <xdr:oneCellAnchor>
    <xdr:from>
      <xdr:col>12</xdr:col>
      <xdr:colOff>31686</xdr:colOff>
      <xdr:row>20</xdr:row>
      <xdr:rowOff>142875</xdr:rowOff>
    </xdr:from>
    <xdr:ext cx="1188720" cy="365760"/>
    <xdr:sp macro="[0]!marcoDefaultInputs_ClearAll" textlink="">
      <xdr:nvSpPr>
        <xdr:cNvPr id="8" name="Rectangle 7"/>
        <xdr:cNvSpPr/>
      </xdr:nvSpPr>
      <xdr:spPr>
        <a:xfrm>
          <a:off x="8280336" y="3810000"/>
          <a:ext cx="1188720" cy="365760"/>
        </a:xfrm>
        <a:prstGeom prst="rect">
          <a:avLst/>
        </a:prstGeom>
        <a:solidFill>
          <a:schemeClr val="bg2">
            <a:lumMod val="90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Clear</a:t>
          </a:r>
          <a:r>
            <a:rPr lang="en-US" sz="1800" b="1" cap="none" spc="150" baseline="0">
              <a:ln w="11430"/>
              <a:solidFill>
                <a:schemeClr val="bg2">
                  <a:lumMod val="75000"/>
                </a:schemeClr>
              </a:solidFill>
              <a:effectLst>
                <a:outerShdw blurRad="25400" algn="tl" rotWithShape="0">
                  <a:srgbClr val="000000">
                    <a:alpha val="43000"/>
                  </a:srgbClr>
                </a:outerShdw>
              </a:effectLst>
            </a:rPr>
            <a:t> All</a:t>
          </a:r>
          <a:endParaRPr lang="en-US" sz="1800" b="1" cap="none" spc="150">
            <a:ln w="11430"/>
            <a:solidFill>
              <a:schemeClr val="bg2">
                <a:lumMod val="75000"/>
              </a:schemeClr>
            </a:solidFill>
            <a:effectLst>
              <a:outerShdw blurRad="25400" algn="tl" rotWithShape="0">
                <a:srgbClr val="000000">
                  <a:alpha val="43000"/>
                </a:srgbClr>
              </a:outerShdw>
            </a:effectLst>
          </a:endParaRPr>
        </a:p>
      </xdr:txBody>
    </xdr:sp>
    <xdr:clientData/>
  </xdr:oneCellAnchor>
  <xdr:oneCellAnchor>
    <xdr:from>
      <xdr:col>12</xdr:col>
      <xdr:colOff>19050</xdr:colOff>
      <xdr:row>16</xdr:row>
      <xdr:rowOff>9525</xdr:rowOff>
    </xdr:from>
    <xdr:ext cx="1188720" cy="374141"/>
    <xdr:sp macro="[0]!marcoDefaultInputs_Misc" textlink="">
      <xdr:nvSpPr>
        <xdr:cNvPr id="9" name="Rectangle 8"/>
        <xdr:cNvSpPr/>
      </xdr:nvSpPr>
      <xdr:spPr>
        <a:xfrm>
          <a:off x="8267700" y="3105150"/>
          <a:ext cx="1188720" cy="374141"/>
        </a:xfrm>
        <a:prstGeom prst="rect">
          <a:avLst/>
        </a:prstGeom>
        <a:solidFill>
          <a:schemeClr val="bg2">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sp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chemeClr val="bg2">
                  <a:lumMod val="75000"/>
                </a:schemeClr>
              </a:solidFill>
              <a:effectLst>
                <a:outerShdw blurRad="25400" algn="tl" rotWithShape="0">
                  <a:srgbClr val="000000">
                    <a:alpha val="43000"/>
                  </a:srgbClr>
                </a:outerShdw>
              </a:effectLst>
            </a:rPr>
            <a:t>Misc.</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rs.gov/pub/irs-pdf/f2290.pdf" TargetMode="External"/><Relationship Id="rId7" Type="http://schemas.openxmlformats.org/officeDocument/2006/relationships/drawing" Target="../drawings/drawing1.xml"/><Relationship Id="rId2" Type="http://schemas.openxmlformats.org/officeDocument/2006/relationships/hyperlink" Target="http://tonto.eia.doe.gov/oog/info/wohdp/diesel.asp" TargetMode="External"/><Relationship Id="rId1" Type="http://schemas.openxmlformats.org/officeDocument/2006/relationships/hyperlink" Target="http://www.bls.gov/oes/current/oes533032.htm" TargetMode="External"/><Relationship Id="rId6" Type="http://schemas.openxmlformats.org/officeDocument/2006/relationships/printerSettings" Target="../printerSettings/printerSettings1.bin"/><Relationship Id="rId5" Type="http://schemas.openxmlformats.org/officeDocument/2006/relationships/hyperlink" Target="mailto:knorris@utk.edu" TargetMode="External"/><Relationship Id="rId4" Type="http://schemas.openxmlformats.org/officeDocument/2006/relationships/hyperlink" Target="http://www.irs.gov/pub/irs-pdf/i720.pdf"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irs.gov/pub/irs-pdf/f2290.pdf" TargetMode="External"/><Relationship Id="rId2" Type="http://schemas.openxmlformats.org/officeDocument/2006/relationships/hyperlink" Target="http://tonto.eia.doe.gov/oog/info/wohdp/diesel.asp" TargetMode="External"/><Relationship Id="rId1" Type="http://schemas.openxmlformats.org/officeDocument/2006/relationships/hyperlink" Target="http://www.bls.gov/oes/current/oes533032.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tonto.eia.doe.gov/oog/info/wohdp/diesel.asp" TargetMode="External"/><Relationship Id="rId1" Type="http://schemas.openxmlformats.org/officeDocument/2006/relationships/hyperlink" Target="http://www.bls.gov/oes/current/oes533032.ht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knorris@utk.ed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Form"/>
  <dimension ref="A1:X71"/>
  <sheetViews>
    <sheetView tabSelected="1" workbookViewId="0">
      <selection activeCell="B3" sqref="B3:I3"/>
    </sheetView>
  </sheetViews>
  <sheetFormatPr defaultRowHeight="14.4" x14ac:dyDescent="0.3"/>
  <cols>
    <col min="1" max="2" width="3.6640625" customWidth="1"/>
    <col min="3" max="3" width="36.6640625" customWidth="1"/>
    <col min="4" max="4" width="11.6640625" customWidth="1"/>
    <col min="5" max="6" width="3.6640625" customWidth="1"/>
    <col min="7" max="7" width="36.6640625" customWidth="1"/>
    <col min="8" max="8" width="11.6640625" customWidth="1"/>
    <col min="9" max="10" width="3.6640625" customWidth="1"/>
    <col min="11" max="12" width="2.33203125" customWidth="1"/>
    <col min="13" max="13" width="9.109375" customWidth="1"/>
    <col min="15" max="16" width="2.33203125" customWidth="1"/>
  </cols>
  <sheetData>
    <row r="1" spans="1:24" ht="25.5" customHeight="1" thickBot="1" x14ac:dyDescent="0.35">
      <c r="A1" s="105" t="s">
        <v>0</v>
      </c>
      <c r="B1" s="106"/>
      <c r="C1" s="106"/>
      <c r="D1" s="106"/>
      <c r="E1" s="106"/>
      <c r="F1" s="106"/>
      <c r="G1" s="106"/>
      <c r="H1" s="106"/>
      <c r="I1" s="106"/>
      <c r="J1" s="106"/>
      <c r="K1" s="106"/>
      <c r="L1" s="106"/>
      <c r="M1" s="106"/>
      <c r="N1" s="106"/>
      <c r="O1" s="106"/>
      <c r="P1" s="107"/>
      <c r="Q1" s="77"/>
      <c r="R1" s="77"/>
      <c r="S1" s="77"/>
      <c r="T1" s="77"/>
      <c r="U1" s="77"/>
      <c r="V1" s="77"/>
      <c r="W1" s="77"/>
      <c r="X1" s="77"/>
    </row>
    <row r="2" spans="1:24" ht="5.0999999999999996" customHeight="1" x14ac:dyDescent="0.35">
      <c r="A2" s="33"/>
      <c r="B2" s="10"/>
      <c r="C2" s="10"/>
      <c r="D2" s="10"/>
      <c r="E2" s="10"/>
      <c r="F2" s="10"/>
      <c r="G2" s="10"/>
      <c r="H2" s="10"/>
      <c r="I2" s="10"/>
      <c r="J2" s="20"/>
      <c r="K2" s="72"/>
      <c r="L2" s="73"/>
      <c r="M2" s="73"/>
      <c r="N2" s="73"/>
      <c r="O2" s="73"/>
      <c r="P2" s="74"/>
      <c r="Q2" s="77"/>
      <c r="R2" s="77"/>
      <c r="S2" s="77"/>
      <c r="T2" s="77"/>
      <c r="U2" s="77"/>
      <c r="V2" s="77"/>
      <c r="W2" s="77"/>
      <c r="X2" s="77"/>
    </row>
    <row r="3" spans="1:24" ht="18" x14ac:dyDescent="0.35">
      <c r="A3" s="33"/>
      <c r="B3" s="118" t="s">
        <v>56</v>
      </c>
      <c r="C3" s="119"/>
      <c r="D3" s="119"/>
      <c r="E3" s="119"/>
      <c r="F3" s="119"/>
      <c r="G3" s="119"/>
      <c r="H3" s="119"/>
      <c r="I3" s="120"/>
      <c r="J3" s="21"/>
      <c r="K3" s="75"/>
      <c r="L3" s="81"/>
      <c r="M3" s="108" t="s">
        <v>108</v>
      </c>
      <c r="N3" s="108"/>
      <c r="O3" s="78"/>
      <c r="P3" s="76"/>
      <c r="Q3" s="77"/>
      <c r="R3" s="77"/>
      <c r="S3" s="77"/>
      <c r="T3" s="77"/>
      <c r="U3" s="77"/>
      <c r="V3" s="77"/>
      <c r="W3" s="77"/>
      <c r="X3" s="77"/>
    </row>
    <row r="4" spans="1:24" x14ac:dyDescent="0.3">
      <c r="A4" s="24"/>
      <c r="B4" s="126" t="s">
        <v>1</v>
      </c>
      <c r="C4" s="127"/>
      <c r="D4" s="127"/>
      <c r="E4" s="128"/>
      <c r="F4" s="116" t="s">
        <v>23</v>
      </c>
      <c r="G4" s="116"/>
      <c r="H4" s="116"/>
      <c r="I4" s="117"/>
      <c r="J4" s="22"/>
      <c r="K4" s="24"/>
      <c r="L4" s="16"/>
      <c r="M4" s="16"/>
      <c r="N4" s="16"/>
      <c r="O4" s="16"/>
      <c r="P4" s="23"/>
      <c r="Q4" s="77"/>
      <c r="R4" s="77"/>
      <c r="S4" s="77"/>
      <c r="T4" s="77"/>
      <c r="U4" s="77"/>
      <c r="V4" s="77"/>
      <c r="W4" s="77"/>
      <c r="X4" s="77"/>
    </row>
    <row r="5" spans="1:24" x14ac:dyDescent="0.3">
      <c r="A5" s="24"/>
      <c r="B5" s="12"/>
      <c r="C5" s="7" t="s">
        <v>2</v>
      </c>
      <c r="D5" s="8"/>
      <c r="E5" s="16"/>
      <c r="F5" s="29"/>
      <c r="G5" s="7" t="s">
        <v>24</v>
      </c>
      <c r="H5" s="8"/>
      <c r="I5" s="11"/>
      <c r="J5" s="23"/>
      <c r="K5" s="24"/>
      <c r="L5" s="16"/>
      <c r="M5" s="16"/>
      <c r="N5" s="16"/>
      <c r="O5" s="16"/>
      <c r="P5" s="23"/>
      <c r="Q5" s="77"/>
      <c r="R5" s="77"/>
      <c r="S5" s="77"/>
      <c r="T5" s="77"/>
      <c r="U5" s="77"/>
      <c r="V5" s="77"/>
      <c r="W5" s="77"/>
      <c r="X5" s="77"/>
    </row>
    <row r="6" spans="1:24" x14ac:dyDescent="0.3">
      <c r="A6" s="24"/>
      <c r="B6" s="12"/>
      <c r="C6" s="8" t="s">
        <v>3</v>
      </c>
      <c r="D6" s="34">
        <v>50000</v>
      </c>
      <c r="E6" s="16"/>
      <c r="F6" s="29"/>
      <c r="G6" s="16" t="s">
        <v>26</v>
      </c>
      <c r="H6" s="64">
        <v>0</v>
      </c>
      <c r="I6" s="11"/>
      <c r="J6" s="23"/>
      <c r="K6" s="24"/>
      <c r="L6" s="16"/>
      <c r="M6" s="16"/>
      <c r="N6" s="16"/>
      <c r="O6" s="16"/>
      <c r="P6" s="23"/>
      <c r="Q6" s="77"/>
      <c r="R6" s="77"/>
      <c r="S6" s="77"/>
      <c r="T6" s="77"/>
      <c r="U6" s="77"/>
      <c r="V6" s="77"/>
      <c r="W6" s="77"/>
      <c r="X6" s="77"/>
    </row>
    <row r="7" spans="1:24" x14ac:dyDescent="0.3">
      <c r="A7" s="24"/>
      <c r="B7" s="12"/>
      <c r="C7" s="16" t="s">
        <v>4</v>
      </c>
      <c r="D7" s="34">
        <v>0</v>
      </c>
      <c r="E7" s="16"/>
      <c r="F7" s="29"/>
      <c r="G7" s="16" t="s">
        <v>25</v>
      </c>
      <c r="H7" s="64">
        <v>22000</v>
      </c>
      <c r="I7" s="11"/>
      <c r="J7" s="23"/>
      <c r="K7" s="24"/>
      <c r="L7" s="16"/>
      <c r="M7" s="16"/>
      <c r="N7" s="16"/>
      <c r="O7" s="16"/>
      <c r="P7" s="23"/>
      <c r="Q7" s="77"/>
      <c r="R7" s="77"/>
      <c r="S7" s="77"/>
      <c r="T7" s="77"/>
      <c r="U7" s="77"/>
      <c r="V7" s="77"/>
      <c r="W7" s="77"/>
      <c r="X7" s="77"/>
    </row>
    <row r="8" spans="1:24" x14ac:dyDescent="0.3">
      <c r="A8" s="24"/>
      <c r="B8" s="12"/>
      <c r="C8" s="16" t="s">
        <v>5</v>
      </c>
      <c r="D8" s="34">
        <v>10000</v>
      </c>
      <c r="E8" s="16"/>
      <c r="F8" s="29"/>
      <c r="G8" s="16" t="s">
        <v>109</v>
      </c>
      <c r="H8" s="65">
        <v>0</v>
      </c>
      <c r="I8" s="11"/>
      <c r="J8" s="23"/>
      <c r="K8" s="24"/>
      <c r="L8" s="82"/>
      <c r="M8" s="79"/>
      <c r="N8" s="79"/>
      <c r="O8" s="83"/>
      <c r="P8" s="23"/>
      <c r="Q8" s="77"/>
      <c r="R8" s="77"/>
      <c r="S8" s="77"/>
      <c r="T8" s="77"/>
      <c r="U8" s="77"/>
      <c r="V8" s="77"/>
      <c r="W8" s="77"/>
      <c r="X8" s="77"/>
    </row>
    <row r="9" spans="1:24" x14ac:dyDescent="0.3">
      <c r="A9" s="24"/>
      <c r="B9" s="12"/>
      <c r="C9" s="7" t="s">
        <v>6</v>
      </c>
      <c r="D9" s="8"/>
      <c r="E9" s="16"/>
      <c r="F9" s="29"/>
      <c r="G9" s="16" t="s">
        <v>110</v>
      </c>
      <c r="H9" s="65">
        <v>5</v>
      </c>
      <c r="I9" s="11"/>
      <c r="J9" s="23"/>
      <c r="K9" s="24"/>
      <c r="L9" s="29"/>
      <c r="M9" s="16"/>
      <c r="N9" s="16"/>
      <c r="O9" s="84"/>
      <c r="P9" s="23"/>
      <c r="Q9" s="77"/>
      <c r="R9" s="77"/>
      <c r="S9" s="77"/>
      <c r="T9" s="77"/>
      <c r="U9" s="77"/>
      <c r="V9" s="77"/>
      <c r="W9" s="77"/>
      <c r="X9" s="77"/>
    </row>
    <row r="10" spans="1:24" x14ac:dyDescent="0.3">
      <c r="A10" s="24"/>
      <c r="B10" s="12"/>
      <c r="C10" s="8" t="s">
        <v>7</v>
      </c>
      <c r="D10" s="36">
        <v>2.5</v>
      </c>
      <c r="E10" s="16"/>
      <c r="F10" s="29"/>
      <c r="G10" s="8" t="s">
        <v>27</v>
      </c>
      <c r="H10" s="67">
        <v>0.08</v>
      </c>
      <c r="I10" s="11"/>
      <c r="J10" s="23"/>
      <c r="K10" s="24"/>
      <c r="L10" s="29"/>
      <c r="M10" s="16"/>
      <c r="N10" s="16"/>
      <c r="O10" s="84"/>
      <c r="P10" s="23"/>
      <c r="Q10" s="77"/>
      <c r="R10" s="77"/>
      <c r="S10" s="77"/>
      <c r="T10" s="77"/>
      <c r="U10" s="77"/>
      <c r="V10" s="77"/>
      <c r="W10" s="77"/>
      <c r="X10" s="77"/>
    </row>
    <row r="11" spans="1:24" x14ac:dyDescent="0.3">
      <c r="A11" s="24"/>
      <c r="B11" s="12"/>
      <c r="C11" s="16" t="s">
        <v>8</v>
      </c>
      <c r="D11" s="37">
        <v>0</v>
      </c>
      <c r="E11" s="16"/>
      <c r="F11" s="29"/>
      <c r="G11" s="7" t="s">
        <v>28</v>
      </c>
      <c r="H11" s="9"/>
      <c r="I11" s="11"/>
      <c r="J11" s="23"/>
      <c r="K11" s="24"/>
      <c r="L11" s="29"/>
      <c r="M11" s="16"/>
      <c r="N11" s="16"/>
      <c r="O11" s="84"/>
      <c r="P11" s="23"/>
      <c r="Q11" s="77"/>
      <c r="R11" s="77"/>
      <c r="S11" s="77"/>
      <c r="T11" s="77"/>
      <c r="U11" s="77"/>
      <c r="V11" s="77"/>
      <c r="W11" s="77"/>
      <c r="X11" s="77"/>
    </row>
    <row r="12" spans="1:24" x14ac:dyDescent="0.3">
      <c r="A12" s="24"/>
      <c r="B12" s="12"/>
      <c r="C12" s="8" t="s">
        <v>9</v>
      </c>
      <c r="D12" s="37">
        <v>0</v>
      </c>
      <c r="E12" s="16"/>
      <c r="F12" s="29"/>
      <c r="G12" s="16" t="s">
        <v>29</v>
      </c>
      <c r="H12" s="64">
        <v>1718</v>
      </c>
      <c r="I12" s="11"/>
      <c r="J12" s="23"/>
      <c r="K12" s="24"/>
      <c r="L12" s="29"/>
      <c r="M12" s="16"/>
      <c r="N12" s="16"/>
      <c r="O12" s="84"/>
      <c r="P12" s="23"/>
      <c r="Q12" s="77"/>
      <c r="R12" s="77"/>
      <c r="S12" s="77"/>
      <c r="T12" s="77"/>
      <c r="U12" s="77"/>
      <c r="V12" s="77"/>
      <c r="W12" s="77"/>
      <c r="X12" s="77"/>
    </row>
    <row r="13" spans="1:24" x14ac:dyDescent="0.3">
      <c r="A13" s="24"/>
      <c r="B13" s="12"/>
      <c r="C13" s="16" t="s">
        <v>48</v>
      </c>
      <c r="D13" s="35">
        <v>0.5</v>
      </c>
      <c r="E13" s="16"/>
      <c r="F13" s="29"/>
      <c r="G13" s="16" t="s">
        <v>30</v>
      </c>
      <c r="H13" s="68">
        <v>20</v>
      </c>
      <c r="I13" s="11"/>
      <c r="J13" s="23"/>
      <c r="K13" s="24"/>
      <c r="L13" s="29"/>
      <c r="M13" s="16"/>
      <c r="N13" s="16"/>
      <c r="O13" s="84"/>
      <c r="P13" s="23"/>
      <c r="Q13" s="77"/>
      <c r="R13" s="77"/>
      <c r="S13" s="77"/>
      <c r="T13" s="77"/>
      <c r="U13" s="77"/>
      <c r="V13" s="77"/>
      <c r="W13" s="77"/>
      <c r="X13" s="77"/>
    </row>
    <row r="14" spans="1:24" x14ac:dyDescent="0.3">
      <c r="A14" s="24"/>
      <c r="B14" s="12"/>
      <c r="C14" s="16" t="s">
        <v>49</v>
      </c>
      <c r="D14" s="35">
        <v>0.5</v>
      </c>
      <c r="E14" s="16"/>
      <c r="F14" s="29"/>
      <c r="G14" s="16" t="s">
        <v>31</v>
      </c>
      <c r="H14" s="69">
        <v>80000</v>
      </c>
      <c r="I14" s="11"/>
      <c r="J14" s="23"/>
      <c r="K14" s="24"/>
      <c r="L14" s="29"/>
      <c r="M14" s="16"/>
      <c r="N14" s="16"/>
      <c r="O14" s="84"/>
      <c r="P14" s="23"/>
      <c r="Q14" s="77"/>
      <c r="R14" s="77"/>
      <c r="S14" s="77"/>
      <c r="T14" s="77"/>
      <c r="U14" s="77"/>
      <c r="V14" s="77"/>
      <c r="W14" s="77"/>
      <c r="X14" s="77"/>
    </row>
    <row r="15" spans="1:24" x14ac:dyDescent="0.3">
      <c r="A15" s="24"/>
      <c r="B15" s="12"/>
      <c r="C15" s="93" t="s">
        <v>120</v>
      </c>
      <c r="D15" s="37">
        <v>80</v>
      </c>
      <c r="E15" s="16"/>
      <c r="F15" s="29"/>
      <c r="G15" s="7" t="s">
        <v>32</v>
      </c>
      <c r="H15" s="9"/>
      <c r="I15" s="11"/>
      <c r="J15" s="23"/>
      <c r="K15" s="24"/>
      <c r="L15" s="85"/>
      <c r="M15" s="80"/>
      <c r="N15" s="80"/>
      <c r="O15" s="86"/>
      <c r="P15" s="23"/>
      <c r="Q15" s="77"/>
      <c r="R15" s="77"/>
      <c r="S15" s="77"/>
      <c r="T15" s="77"/>
      <c r="U15" s="77"/>
      <c r="V15" s="77"/>
      <c r="W15" s="77"/>
      <c r="X15" s="77"/>
    </row>
    <row r="16" spans="1:24" x14ac:dyDescent="0.3">
      <c r="A16" s="24"/>
      <c r="B16" s="12"/>
      <c r="C16" s="7" t="s">
        <v>11</v>
      </c>
      <c r="D16" s="8"/>
      <c r="E16" s="16"/>
      <c r="F16" s="29"/>
      <c r="G16" s="16" t="s">
        <v>59</v>
      </c>
      <c r="H16" s="67">
        <v>0.04</v>
      </c>
      <c r="I16" s="11"/>
      <c r="J16" s="23"/>
      <c r="K16" s="24"/>
      <c r="L16" s="16"/>
      <c r="M16" s="16"/>
      <c r="N16" s="16"/>
      <c r="O16" s="16"/>
      <c r="P16" s="23"/>
      <c r="Q16" s="77"/>
      <c r="R16" s="77"/>
      <c r="S16" s="77"/>
      <c r="T16" s="77"/>
      <c r="U16" s="77"/>
      <c r="V16" s="77"/>
      <c r="W16" s="77"/>
      <c r="X16" s="77"/>
    </row>
    <row r="17" spans="1:24" x14ac:dyDescent="0.3">
      <c r="A17" s="24"/>
      <c r="B17" s="12"/>
      <c r="C17" s="16" t="s">
        <v>121</v>
      </c>
      <c r="D17" s="37">
        <v>1.78</v>
      </c>
      <c r="E17" s="16"/>
      <c r="F17" s="29"/>
      <c r="G17" s="7" t="s">
        <v>33</v>
      </c>
      <c r="H17" s="8"/>
      <c r="I17" s="11"/>
      <c r="J17" s="23"/>
      <c r="K17" s="24"/>
      <c r="L17" s="16"/>
      <c r="M17" s="16"/>
      <c r="N17" s="16"/>
      <c r="O17" s="16"/>
      <c r="P17" s="23"/>
      <c r="Q17" s="77"/>
      <c r="R17" s="77"/>
      <c r="S17" s="77"/>
      <c r="T17" s="77"/>
      <c r="U17" s="77"/>
      <c r="V17" s="77"/>
      <c r="W17" s="77"/>
      <c r="X17" s="77"/>
    </row>
    <row r="18" spans="1:24" x14ac:dyDescent="0.3">
      <c r="A18" s="24"/>
      <c r="B18" s="12"/>
      <c r="C18" s="8" t="s">
        <v>13</v>
      </c>
      <c r="D18" s="37">
        <v>0.75</v>
      </c>
      <c r="E18" s="16"/>
      <c r="F18" s="29"/>
      <c r="G18" s="8" t="s">
        <v>34</v>
      </c>
      <c r="H18" s="64">
        <v>9000</v>
      </c>
      <c r="I18" s="11"/>
      <c r="J18" s="23"/>
      <c r="K18" s="24"/>
      <c r="L18" s="16"/>
      <c r="M18" s="16"/>
      <c r="N18" s="16"/>
      <c r="O18" s="16"/>
      <c r="P18" s="23"/>
      <c r="Q18" s="77"/>
      <c r="R18" s="77"/>
      <c r="S18" s="77"/>
      <c r="T18" s="77"/>
      <c r="U18" s="77"/>
      <c r="V18" s="77"/>
      <c r="W18" s="77"/>
      <c r="X18" s="77"/>
    </row>
    <row r="19" spans="1:24" ht="7.5" customHeight="1" x14ac:dyDescent="0.3">
      <c r="A19" s="24"/>
      <c r="B19" s="12"/>
      <c r="C19" s="132" t="s">
        <v>14</v>
      </c>
      <c r="D19" s="124">
        <v>0.75</v>
      </c>
      <c r="E19" s="16"/>
      <c r="F19" s="30"/>
      <c r="G19" s="31"/>
      <c r="H19" s="32"/>
      <c r="I19" s="13"/>
      <c r="J19" s="23"/>
      <c r="K19" s="24"/>
      <c r="L19" s="16"/>
      <c r="M19" s="16"/>
      <c r="N19" s="16"/>
      <c r="O19" s="16"/>
      <c r="P19" s="23"/>
      <c r="Q19" s="77"/>
      <c r="R19" s="77"/>
      <c r="S19" s="77"/>
      <c r="T19" s="77"/>
      <c r="U19" s="77"/>
      <c r="V19" s="77"/>
      <c r="W19" s="77"/>
      <c r="X19" s="77"/>
    </row>
    <row r="20" spans="1:24" ht="7.5" customHeight="1" x14ac:dyDescent="0.3">
      <c r="A20" s="24"/>
      <c r="B20" s="12"/>
      <c r="C20" s="132"/>
      <c r="D20" s="125"/>
      <c r="E20" s="16"/>
      <c r="F20" s="129" t="s">
        <v>60</v>
      </c>
      <c r="G20" s="130"/>
      <c r="H20" s="130"/>
      <c r="I20" s="131"/>
      <c r="J20" s="23"/>
      <c r="K20" s="87"/>
      <c r="L20" s="8"/>
      <c r="M20" s="8"/>
      <c r="N20" s="8"/>
      <c r="O20" s="8"/>
      <c r="P20" s="88"/>
      <c r="Q20" s="77"/>
      <c r="R20" s="77"/>
      <c r="S20" s="77"/>
      <c r="T20" s="77"/>
      <c r="U20" s="77"/>
      <c r="V20" s="77"/>
      <c r="W20" s="77"/>
      <c r="X20" s="77"/>
    </row>
    <row r="21" spans="1:24" x14ac:dyDescent="0.3">
      <c r="A21" s="24"/>
      <c r="B21" s="12"/>
      <c r="C21" s="8" t="s">
        <v>15</v>
      </c>
      <c r="D21" s="37">
        <v>0.5</v>
      </c>
      <c r="E21" s="11"/>
      <c r="F21" s="12"/>
      <c r="G21" s="115"/>
      <c r="H21" s="115"/>
      <c r="I21" s="11"/>
      <c r="J21" s="23"/>
      <c r="K21" s="89"/>
      <c r="L21" s="90"/>
      <c r="M21" s="90"/>
      <c r="N21" s="90"/>
      <c r="O21" s="90"/>
      <c r="P21" s="91"/>
      <c r="Q21" s="77"/>
      <c r="R21" s="77"/>
      <c r="S21" s="77"/>
      <c r="T21" s="77"/>
      <c r="U21" s="77"/>
      <c r="V21" s="77"/>
      <c r="W21" s="77"/>
      <c r="X21" s="77"/>
    </row>
    <row r="22" spans="1:24" ht="7.5" customHeight="1" x14ac:dyDescent="0.3">
      <c r="A22" s="24"/>
      <c r="B22" s="12"/>
      <c r="C22" s="123" t="s">
        <v>53</v>
      </c>
      <c r="D22" s="124">
        <v>15</v>
      </c>
      <c r="E22" s="11"/>
      <c r="F22" s="12"/>
      <c r="G22" s="115"/>
      <c r="H22" s="115"/>
      <c r="I22" s="11"/>
      <c r="J22" s="23"/>
      <c r="K22" s="24"/>
      <c r="L22" s="16"/>
      <c r="M22" s="16"/>
      <c r="N22" s="16"/>
      <c r="O22" s="16"/>
      <c r="P22" s="23"/>
      <c r="Q22" s="77"/>
      <c r="R22" s="77"/>
      <c r="S22" s="77"/>
      <c r="T22" s="77"/>
      <c r="U22" s="77"/>
      <c r="V22" s="77"/>
      <c r="W22" s="77"/>
      <c r="X22" s="77"/>
    </row>
    <row r="23" spans="1:24" ht="7.5" customHeight="1" x14ac:dyDescent="0.3">
      <c r="A23" s="24"/>
      <c r="B23" s="12"/>
      <c r="C23" s="123"/>
      <c r="D23" s="125"/>
      <c r="E23" s="11"/>
      <c r="F23" s="12"/>
      <c r="G23" s="19"/>
      <c r="H23" s="19"/>
      <c r="I23" s="11"/>
      <c r="J23" s="23"/>
      <c r="K23" s="24"/>
      <c r="L23" s="16"/>
      <c r="M23" s="16"/>
      <c r="N23" s="16"/>
      <c r="O23" s="16"/>
      <c r="P23" s="23"/>
      <c r="Q23" s="77"/>
      <c r="R23" s="77"/>
      <c r="S23" s="77"/>
      <c r="T23" s="77"/>
      <c r="U23" s="77"/>
      <c r="V23" s="77"/>
      <c r="W23" s="77"/>
      <c r="X23" s="77"/>
    </row>
    <row r="24" spans="1:24" ht="18.600000000000001" thickBot="1" x14ac:dyDescent="0.4">
      <c r="A24" s="24"/>
      <c r="B24" s="12"/>
      <c r="C24" s="7" t="s">
        <v>16</v>
      </c>
      <c r="D24" s="8"/>
      <c r="E24" s="11"/>
      <c r="F24" s="118" t="s">
        <v>57</v>
      </c>
      <c r="G24" s="121"/>
      <c r="H24" s="121"/>
      <c r="I24" s="122"/>
      <c r="J24" s="21"/>
      <c r="K24" s="26"/>
      <c r="L24" s="27"/>
      <c r="M24" s="27"/>
      <c r="N24" s="27"/>
      <c r="O24" s="27"/>
      <c r="P24" s="28"/>
      <c r="Q24" s="77"/>
      <c r="R24" s="77"/>
      <c r="S24" s="77"/>
      <c r="T24" s="77"/>
      <c r="U24" s="77"/>
      <c r="V24" s="77"/>
      <c r="W24" s="77"/>
      <c r="X24" s="77"/>
    </row>
    <row r="25" spans="1:24" x14ac:dyDescent="0.3">
      <c r="A25" s="24"/>
      <c r="B25" s="12"/>
      <c r="C25" s="8" t="s">
        <v>17</v>
      </c>
      <c r="D25" s="64">
        <v>0</v>
      </c>
      <c r="E25" s="11"/>
      <c r="F25" s="112"/>
      <c r="G25" s="113"/>
      <c r="H25" s="113"/>
      <c r="I25" s="114"/>
      <c r="J25" s="23"/>
      <c r="K25" s="146" t="s">
        <v>111</v>
      </c>
      <c r="L25" s="147"/>
      <c r="M25" s="147"/>
      <c r="N25" s="147"/>
      <c r="O25" s="147"/>
      <c r="P25" s="148"/>
      <c r="Q25" s="77"/>
      <c r="R25" s="77"/>
      <c r="S25" s="77"/>
      <c r="T25" s="77"/>
      <c r="U25" s="77"/>
      <c r="V25" s="77"/>
      <c r="W25" s="77"/>
      <c r="X25" s="77"/>
    </row>
    <row r="26" spans="1:24" x14ac:dyDescent="0.3">
      <c r="A26" s="24"/>
      <c r="B26" s="12"/>
      <c r="C26" s="16" t="s">
        <v>18</v>
      </c>
      <c r="D26" s="64">
        <v>300</v>
      </c>
      <c r="E26" s="11"/>
      <c r="F26" s="12"/>
      <c r="G26" s="18" t="s">
        <v>35</v>
      </c>
      <c r="H26" s="70" t="e">
        <v>#DIV/0!</v>
      </c>
      <c r="I26" s="11"/>
      <c r="J26" s="23"/>
      <c r="K26" s="149" t="s">
        <v>112</v>
      </c>
      <c r="L26" s="115"/>
      <c r="M26" s="115"/>
      <c r="N26" s="115"/>
      <c r="O26" s="115"/>
      <c r="P26" s="150"/>
      <c r="Q26" s="77"/>
      <c r="R26" s="77"/>
      <c r="S26" s="77"/>
      <c r="T26" s="77"/>
      <c r="U26" s="77"/>
      <c r="V26" s="77"/>
      <c r="W26" s="77"/>
      <c r="X26" s="77"/>
    </row>
    <row r="27" spans="1:24" x14ac:dyDescent="0.3">
      <c r="A27" s="24"/>
      <c r="B27" s="12"/>
      <c r="C27" s="8" t="s">
        <v>19</v>
      </c>
      <c r="D27" s="65">
        <v>0</v>
      </c>
      <c r="E27" s="11"/>
      <c r="F27" s="12"/>
      <c r="G27" s="8" t="s">
        <v>36</v>
      </c>
      <c r="H27" s="71" t="e">
        <v>#DIV/0!</v>
      </c>
      <c r="I27" s="11"/>
      <c r="J27" s="23"/>
      <c r="K27" s="133" t="s">
        <v>116</v>
      </c>
      <c r="L27" s="134"/>
      <c r="M27" s="134"/>
      <c r="N27" s="134"/>
      <c r="O27" s="134"/>
      <c r="P27" s="135"/>
      <c r="Q27" s="77"/>
      <c r="R27" s="77"/>
      <c r="S27" s="77"/>
      <c r="T27" s="77"/>
      <c r="U27" s="77"/>
      <c r="V27" s="77"/>
      <c r="W27" s="77"/>
      <c r="X27" s="77"/>
    </row>
    <row r="28" spans="1:24" x14ac:dyDescent="0.3">
      <c r="A28" s="24"/>
      <c r="B28" s="12"/>
      <c r="C28" s="16" t="s">
        <v>20</v>
      </c>
      <c r="D28" s="65">
        <v>50000</v>
      </c>
      <c r="E28" s="11"/>
      <c r="F28" s="12"/>
      <c r="G28" s="18" t="s">
        <v>37</v>
      </c>
      <c r="H28" s="103" t="e">
        <v>#DIV/0!</v>
      </c>
      <c r="I28" s="11"/>
      <c r="J28" s="23"/>
      <c r="K28" s="133" t="s">
        <v>117</v>
      </c>
      <c r="L28" s="134"/>
      <c r="M28" s="134"/>
      <c r="N28" s="134"/>
      <c r="O28" s="134"/>
      <c r="P28" s="135"/>
      <c r="Q28" s="77"/>
      <c r="R28" s="77"/>
      <c r="S28" s="77"/>
      <c r="T28" s="77"/>
      <c r="U28" s="77"/>
      <c r="V28" s="77"/>
      <c r="W28" s="77"/>
      <c r="X28" s="77"/>
    </row>
    <row r="29" spans="1:24" x14ac:dyDescent="0.3">
      <c r="A29" s="24"/>
      <c r="B29" s="12"/>
      <c r="C29" s="7" t="s">
        <v>21</v>
      </c>
      <c r="D29" s="8"/>
      <c r="E29" s="11"/>
      <c r="F29" s="12"/>
      <c r="G29" s="16" t="s">
        <v>58</v>
      </c>
      <c r="H29" s="104" t="e">
        <v>#DIV/0!</v>
      </c>
      <c r="I29" s="11"/>
      <c r="J29" s="23"/>
      <c r="K29" s="145" t="s">
        <v>114</v>
      </c>
      <c r="L29" s="134"/>
      <c r="M29" s="134"/>
      <c r="N29" s="134"/>
      <c r="O29" s="134"/>
      <c r="P29" s="135"/>
      <c r="Q29" s="77"/>
      <c r="R29" s="77"/>
      <c r="S29" s="77"/>
      <c r="T29" s="77"/>
      <c r="U29" s="77"/>
      <c r="V29" s="77"/>
      <c r="W29" s="77"/>
      <c r="X29" s="77"/>
    </row>
    <row r="30" spans="1:24" x14ac:dyDescent="0.3">
      <c r="A30" s="24"/>
      <c r="B30" s="12"/>
      <c r="C30" s="8" t="s">
        <v>22</v>
      </c>
      <c r="D30" s="66">
        <v>0</v>
      </c>
      <c r="E30" s="11"/>
      <c r="F30" s="12"/>
      <c r="G30" s="18" t="s">
        <v>38</v>
      </c>
      <c r="H30" s="103" t="e">
        <v>#DIV/0!</v>
      </c>
      <c r="I30" s="11"/>
      <c r="J30" s="23"/>
      <c r="K30" s="142" t="s">
        <v>115</v>
      </c>
      <c r="L30" s="143"/>
      <c r="M30" s="143"/>
      <c r="N30" s="143"/>
      <c r="O30" s="143"/>
      <c r="P30" s="144"/>
      <c r="Q30" s="77"/>
      <c r="R30" s="77"/>
      <c r="S30" s="77"/>
      <c r="T30" s="77"/>
      <c r="U30" s="77"/>
      <c r="V30" s="77"/>
      <c r="W30" s="77"/>
      <c r="X30" s="77"/>
    </row>
    <row r="31" spans="1:24" x14ac:dyDescent="0.3">
      <c r="A31" s="24"/>
      <c r="B31" s="109"/>
      <c r="C31" s="110"/>
      <c r="D31" s="110"/>
      <c r="E31" s="111"/>
      <c r="F31" s="17"/>
      <c r="G31" s="14"/>
      <c r="H31" s="14"/>
      <c r="I31" s="15"/>
      <c r="J31" s="25"/>
      <c r="K31" s="136" t="s">
        <v>113</v>
      </c>
      <c r="L31" s="137"/>
      <c r="M31" s="137"/>
      <c r="N31" s="137"/>
      <c r="O31" s="137"/>
      <c r="P31" s="138"/>
      <c r="Q31" s="77"/>
      <c r="R31" s="77"/>
      <c r="S31" s="77"/>
      <c r="T31" s="77"/>
      <c r="U31" s="77"/>
      <c r="V31" s="77"/>
      <c r="W31" s="77"/>
      <c r="X31" s="77"/>
    </row>
    <row r="32" spans="1:24" ht="15" thickBot="1" x14ac:dyDescent="0.35">
      <c r="A32" s="26"/>
      <c r="B32" s="27"/>
      <c r="C32" s="27"/>
      <c r="D32" s="27"/>
      <c r="E32" s="27"/>
      <c r="F32" s="27"/>
      <c r="G32" s="27"/>
      <c r="H32" s="27"/>
      <c r="I32" s="27"/>
      <c r="J32" s="28"/>
      <c r="K32" s="139">
        <v>2009</v>
      </c>
      <c r="L32" s="140"/>
      <c r="M32" s="140"/>
      <c r="N32" s="140"/>
      <c r="O32" s="140"/>
      <c r="P32" s="141"/>
      <c r="Q32" s="77"/>
      <c r="R32" s="77"/>
      <c r="S32" s="77"/>
      <c r="T32" s="77"/>
      <c r="U32" s="77"/>
      <c r="V32" s="77"/>
      <c r="W32" s="77"/>
      <c r="X32" s="77"/>
    </row>
    <row r="33" spans="1:24" x14ac:dyDescent="0.3">
      <c r="A33" s="77"/>
      <c r="B33" s="77"/>
      <c r="C33" s="77"/>
      <c r="D33" s="77"/>
      <c r="E33" s="77"/>
      <c r="F33" s="77"/>
      <c r="G33" s="77"/>
      <c r="H33" s="77"/>
      <c r="I33" s="77"/>
      <c r="J33" s="77"/>
      <c r="K33" s="77"/>
      <c r="L33" s="77"/>
      <c r="M33" s="77"/>
      <c r="N33" s="77"/>
      <c r="O33" s="77"/>
      <c r="P33" s="77"/>
      <c r="Q33" s="77"/>
      <c r="R33" s="77"/>
      <c r="S33" s="77"/>
      <c r="T33" s="77"/>
      <c r="U33" s="77"/>
      <c r="V33" s="77"/>
      <c r="W33" s="77"/>
      <c r="X33" s="77"/>
    </row>
    <row r="34" spans="1:24" x14ac:dyDescent="0.3">
      <c r="A34" s="77"/>
      <c r="B34" s="77"/>
      <c r="C34" s="77"/>
      <c r="D34" s="77"/>
      <c r="E34" s="77"/>
      <c r="F34" s="77"/>
      <c r="G34" s="77"/>
      <c r="H34" s="77"/>
      <c r="I34" s="77"/>
      <c r="J34" s="77"/>
      <c r="K34" s="77"/>
      <c r="L34" s="77"/>
      <c r="M34" s="77"/>
      <c r="N34" s="77"/>
      <c r="O34" s="77"/>
      <c r="P34" s="77"/>
      <c r="Q34" s="77"/>
      <c r="R34" s="77"/>
      <c r="S34" s="77"/>
      <c r="T34" s="77"/>
      <c r="U34" s="77"/>
      <c r="V34" s="77"/>
      <c r="W34" s="77"/>
      <c r="X34" s="77"/>
    </row>
    <row r="35" spans="1:24" x14ac:dyDescent="0.3">
      <c r="A35" s="77"/>
      <c r="B35" s="77"/>
      <c r="C35" s="77"/>
      <c r="D35" s="77"/>
      <c r="E35" s="77"/>
      <c r="F35" s="77"/>
      <c r="G35" s="77"/>
      <c r="H35" s="77"/>
      <c r="I35" s="77"/>
      <c r="J35" s="77"/>
      <c r="K35" s="77"/>
      <c r="L35" s="77"/>
      <c r="M35" s="77"/>
      <c r="N35" s="77"/>
      <c r="O35" s="77"/>
      <c r="P35" s="77"/>
      <c r="Q35" s="77"/>
      <c r="R35" s="77"/>
      <c r="S35" s="77"/>
      <c r="T35" s="77"/>
      <c r="U35" s="77"/>
      <c r="V35" s="77"/>
      <c r="W35" s="77"/>
      <c r="X35" s="77"/>
    </row>
    <row r="36" spans="1:24" x14ac:dyDescent="0.3">
      <c r="A36" s="77"/>
      <c r="B36" s="77"/>
      <c r="C36" s="77"/>
      <c r="D36" s="77"/>
      <c r="E36" s="77"/>
      <c r="F36" s="77"/>
      <c r="G36" s="77"/>
      <c r="H36" s="77"/>
      <c r="I36" s="77"/>
      <c r="J36" s="77"/>
      <c r="K36" s="77"/>
      <c r="L36" s="77"/>
      <c r="M36" s="77"/>
      <c r="N36" s="77"/>
      <c r="O36" s="77"/>
      <c r="P36" s="77"/>
      <c r="Q36" s="77"/>
      <c r="R36" s="77"/>
      <c r="S36" s="77"/>
      <c r="T36" s="77"/>
      <c r="U36" s="77"/>
      <c r="V36" s="77"/>
      <c r="W36" s="77"/>
      <c r="X36" s="77"/>
    </row>
    <row r="37" spans="1:24" x14ac:dyDescent="0.3">
      <c r="A37" s="77"/>
      <c r="B37" s="77"/>
      <c r="C37" s="77"/>
      <c r="D37" s="77"/>
      <c r="E37" s="77"/>
      <c r="F37" s="77"/>
      <c r="G37" s="77"/>
      <c r="H37" s="77"/>
      <c r="I37" s="77"/>
      <c r="J37" s="77"/>
      <c r="K37" s="77"/>
      <c r="L37" s="77"/>
      <c r="M37" s="77"/>
      <c r="N37" s="77"/>
      <c r="O37" s="77"/>
      <c r="P37" s="77"/>
      <c r="Q37" s="77"/>
      <c r="R37" s="77"/>
      <c r="S37" s="77"/>
      <c r="T37" s="77"/>
      <c r="U37" s="77"/>
      <c r="V37" s="77"/>
      <c r="W37" s="77"/>
      <c r="X37" s="77"/>
    </row>
    <row r="38" spans="1:24" x14ac:dyDescent="0.3">
      <c r="A38" s="77"/>
      <c r="B38" s="77"/>
      <c r="C38" s="77"/>
      <c r="D38" s="77"/>
      <c r="E38" s="77"/>
      <c r="F38" s="77"/>
      <c r="G38" s="77"/>
      <c r="H38" s="77"/>
      <c r="I38" s="77"/>
      <c r="J38" s="77"/>
      <c r="K38" s="77"/>
      <c r="L38" s="77"/>
      <c r="M38" s="77"/>
      <c r="N38" s="77"/>
      <c r="O38" s="77"/>
      <c r="P38" s="77"/>
      <c r="Q38" s="77"/>
      <c r="R38" s="77"/>
      <c r="S38" s="77"/>
      <c r="T38" s="77"/>
      <c r="U38" s="77"/>
      <c r="V38" s="77"/>
      <c r="W38" s="77"/>
      <c r="X38" s="77"/>
    </row>
    <row r="39" spans="1:24" x14ac:dyDescent="0.3">
      <c r="A39" s="77"/>
      <c r="B39" s="77"/>
      <c r="C39" s="77"/>
      <c r="D39" s="77"/>
      <c r="E39" s="77"/>
      <c r="F39" s="77"/>
      <c r="G39" s="77"/>
      <c r="H39" s="77"/>
      <c r="I39" s="77"/>
      <c r="J39" s="77"/>
      <c r="K39" s="77"/>
      <c r="L39" s="77"/>
      <c r="M39" s="77"/>
      <c r="N39" s="77"/>
      <c r="O39" s="77"/>
      <c r="P39" s="77"/>
      <c r="Q39" s="77"/>
      <c r="R39" s="77"/>
      <c r="S39" s="77"/>
      <c r="T39" s="77"/>
      <c r="U39" s="77"/>
      <c r="V39" s="77"/>
      <c r="W39" s="77"/>
      <c r="X39" s="77"/>
    </row>
    <row r="54" spans="3:4" x14ac:dyDescent="0.3">
      <c r="C54" s="1"/>
      <c r="D54" s="2"/>
    </row>
    <row r="55" spans="3:4" x14ac:dyDescent="0.3">
      <c r="C55" s="1"/>
      <c r="D55" s="2"/>
    </row>
    <row r="56" spans="3:4" x14ac:dyDescent="0.3">
      <c r="C56" s="3" t="s">
        <v>39</v>
      </c>
      <c r="D56" s="2"/>
    </row>
    <row r="57" spans="3:4" x14ac:dyDescent="0.3">
      <c r="C57" s="1" t="s">
        <v>40</v>
      </c>
      <c r="D57" s="2"/>
    </row>
    <row r="58" spans="3:4" x14ac:dyDescent="0.3">
      <c r="C58" s="1"/>
      <c r="D58" s="2"/>
    </row>
    <row r="59" spans="3:4" x14ac:dyDescent="0.3">
      <c r="C59" s="3" t="s">
        <v>51</v>
      </c>
      <c r="D59" s="2"/>
    </row>
    <row r="60" spans="3:4" x14ac:dyDescent="0.3">
      <c r="C60" t="s">
        <v>54</v>
      </c>
      <c r="D60" s="4" t="s">
        <v>43</v>
      </c>
    </row>
    <row r="61" spans="3:4" x14ac:dyDescent="0.3">
      <c r="C61" t="s">
        <v>55</v>
      </c>
      <c r="D61" s="4" t="s">
        <v>44</v>
      </c>
    </row>
    <row r="62" spans="3:4" x14ac:dyDescent="0.3">
      <c r="C62" s="4"/>
      <c r="D62" s="2"/>
    </row>
    <row r="63" spans="3:4" x14ac:dyDescent="0.3">
      <c r="C63" s="3" t="s">
        <v>52</v>
      </c>
      <c r="D63" s="2"/>
    </row>
    <row r="64" spans="3:4" x14ac:dyDescent="0.3">
      <c r="C64" t="s">
        <v>53</v>
      </c>
      <c r="D64" s="4" t="s">
        <v>41</v>
      </c>
    </row>
    <row r="65" spans="3:4" x14ac:dyDescent="0.3">
      <c r="C65" s="1" t="s">
        <v>7</v>
      </c>
      <c r="D65" s="4" t="s">
        <v>42</v>
      </c>
    </row>
    <row r="66" spans="3:4" x14ac:dyDescent="0.3">
      <c r="C66" s="5"/>
      <c r="D66" s="2"/>
    </row>
    <row r="67" spans="3:4" x14ac:dyDescent="0.3">
      <c r="C67" s="3" t="s">
        <v>45</v>
      </c>
      <c r="D67" s="2"/>
    </row>
    <row r="68" spans="3:4" x14ac:dyDescent="0.3">
      <c r="C68" t="s">
        <v>50</v>
      </c>
      <c r="D68" s="2"/>
    </row>
    <row r="69" spans="3:4" x14ac:dyDescent="0.3">
      <c r="C69" t="s">
        <v>46</v>
      </c>
      <c r="D69" s="2"/>
    </row>
    <row r="70" spans="3:4" x14ac:dyDescent="0.3">
      <c r="C70" s="6" t="s">
        <v>47</v>
      </c>
      <c r="D70" s="2"/>
    </row>
    <row r="71" spans="3:4" x14ac:dyDescent="0.3">
      <c r="C71" s="6"/>
      <c r="D71" s="2"/>
    </row>
  </sheetData>
  <mergeCells count="22">
    <mergeCell ref="K32:P32"/>
    <mergeCell ref="K30:P30"/>
    <mergeCell ref="K29:P29"/>
    <mergeCell ref="K25:P25"/>
    <mergeCell ref="K26:P26"/>
    <mergeCell ref="K27:P27"/>
    <mergeCell ref="A1:P1"/>
    <mergeCell ref="M3:N3"/>
    <mergeCell ref="B31:E31"/>
    <mergeCell ref="F25:I25"/>
    <mergeCell ref="G21:H22"/>
    <mergeCell ref="F4:I4"/>
    <mergeCell ref="B3:I3"/>
    <mergeCell ref="F24:I24"/>
    <mergeCell ref="C22:C23"/>
    <mergeCell ref="D22:D23"/>
    <mergeCell ref="B4:E4"/>
    <mergeCell ref="F20:I20"/>
    <mergeCell ref="C19:C20"/>
    <mergeCell ref="D19:D20"/>
    <mergeCell ref="K28:P28"/>
    <mergeCell ref="K31:P31"/>
  </mergeCells>
  <hyperlinks>
    <hyperlink ref="D64" r:id="rId1" location="st"/>
    <hyperlink ref="D65" r:id="rId2"/>
    <hyperlink ref="D60" r:id="rId3"/>
    <hyperlink ref="D61" r:id="rId4"/>
    <hyperlink ref="K29" r:id="rId5"/>
  </hyperlinks>
  <pageMargins left="0.7" right="0.7" top="0.75" bottom="0.75" header="0.3" footer="0.3"/>
  <pageSetup orientation="portrait" verticalDpi="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l"/>
  <dimension ref="A1:B110"/>
  <sheetViews>
    <sheetView topLeftCell="A70" workbookViewId="0">
      <selection activeCell="B87" sqref="B87:B91"/>
    </sheetView>
  </sheetViews>
  <sheetFormatPr defaultRowHeight="14.4" x14ac:dyDescent="0.3"/>
  <cols>
    <col min="1" max="1" width="37.33203125" bestFit="1" customWidth="1"/>
    <col min="2" max="2" width="11.5546875" bestFit="1" customWidth="1"/>
  </cols>
  <sheetData>
    <row r="1" spans="1:2" x14ac:dyDescent="0.3">
      <c r="A1" s="38" t="s">
        <v>0</v>
      </c>
      <c r="B1" s="63"/>
    </row>
    <row r="2" spans="1:2" x14ac:dyDescent="0.3">
      <c r="A2" s="1"/>
      <c r="B2" s="40"/>
    </row>
    <row r="3" spans="1:2" x14ac:dyDescent="0.3">
      <c r="A3" s="39" t="s">
        <v>1</v>
      </c>
      <c r="B3" s="40"/>
    </row>
    <row r="4" spans="1:2" x14ac:dyDescent="0.3">
      <c r="A4" s="39" t="s">
        <v>2</v>
      </c>
      <c r="B4" s="40"/>
    </row>
    <row r="5" spans="1:2" x14ac:dyDescent="0.3">
      <c r="A5" s="1" t="s">
        <v>61</v>
      </c>
      <c r="B5" s="41">
        <f>ROUND(SUM(B6:B8),0)</f>
        <v>60000</v>
      </c>
    </row>
    <row r="6" spans="1:2" x14ac:dyDescent="0.3">
      <c r="A6" s="1" t="s">
        <v>3</v>
      </c>
      <c r="B6" s="42">
        <f>'Trucking Cost Model'!D6</f>
        <v>50000</v>
      </c>
    </row>
    <row r="7" spans="1:2" x14ac:dyDescent="0.3">
      <c r="A7" t="s">
        <v>4</v>
      </c>
      <c r="B7" s="42">
        <f>'Trucking Cost Model'!D7</f>
        <v>0</v>
      </c>
    </row>
    <row r="8" spans="1:2" x14ac:dyDescent="0.3">
      <c r="A8" t="s">
        <v>5</v>
      </c>
      <c r="B8" s="42">
        <f>'Trucking Cost Model'!D8</f>
        <v>10000</v>
      </c>
    </row>
    <row r="9" spans="1:2" x14ac:dyDescent="0.3">
      <c r="A9" s="39" t="s">
        <v>6</v>
      </c>
      <c r="B9" s="40"/>
    </row>
    <row r="10" spans="1:2" x14ac:dyDescent="0.3">
      <c r="A10" s="1" t="s">
        <v>7</v>
      </c>
      <c r="B10" s="43">
        <f>'Trucking Cost Model'!D10</f>
        <v>2.5</v>
      </c>
    </row>
    <row r="11" spans="1:2" x14ac:dyDescent="0.3">
      <c r="A11" t="s">
        <v>8</v>
      </c>
      <c r="B11" s="44">
        <f>'Trucking Cost Model'!D11</f>
        <v>0</v>
      </c>
    </row>
    <row r="12" spans="1:2" x14ac:dyDescent="0.3">
      <c r="A12" s="1" t="s">
        <v>9</v>
      </c>
      <c r="B12" s="44">
        <f>'Trucking Cost Model'!D12</f>
        <v>0</v>
      </c>
    </row>
    <row r="13" spans="1:2" x14ac:dyDescent="0.3">
      <c r="A13" s="1" t="s">
        <v>62</v>
      </c>
      <c r="B13" s="45">
        <f>'Trucking Cost Model'!D13</f>
        <v>0.5</v>
      </c>
    </row>
    <row r="14" spans="1:2" x14ac:dyDescent="0.3">
      <c r="A14" s="1" t="s">
        <v>63</v>
      </c>
      <c r="B14" s="45">
        <f>'Trucking Cost Model'!D14</f>
        <v>0.5</v>
      </c>
    </row>
    <row r="15" spans="1:2" x14ac:dyDescent="0.3">
      <c r="A15" s="1" t="s">
        <v>64</v>
      </c>
      <c r="B15" s="46" t="e">
        <f>ROUND(B10/B11,2)</f>
        <v>#DIV/0!</v>
      </c>
    </row>
    <row r="16" spans="1:2" x14ac:dyDescent="0.3">
      <c r="A16" s="1" t="s">
        <v>65</v>
      </c>
      <c r="B16" s="46" t="e">
        <f>ROUND(B10/B12,2)</f>
        <v>#DIV/0!</v>
      </c>
    </row>
    <row r="17" spans="1:2" x14ac:dyDescent="0.3">
      <c r="A17" s="2" t="s">
        <v>66</v>
      </c>
      <c r="B17" s="46" t="e">
        <f>ROUND((B15*B13)+(B16*B14),2)</f>
        <v>#DIV/0!</v>
      </c>
    </row>
    <row r="18" spans="1:2" x14ac:dyDescent="0.3">
      <c r="A18" s="47" t="s">
        <v>10</v>
      </c>
      <c r="B18" s="48">
        <f>'Trucking Cost Model'!D15</f>
        <v>80</v>
      </c>
    </row>
    <row r="19" spans="1:2" x14ac:dyDescent="0.3">
      <c r="A19" s="49" t="s">
        <v>67</v>
      </c>
      <c r="B19" s="46" t="e">
        <f>ROUND(B17*B18,2)</f>
        <v>#DIV/0!</v>
      </c>
    </row>
    <row r="20" spans="1:2" x14ac:dyDescent="0.3">
      <c r="A20" s="39" t="s">
        <v>11</v>
      </c>
      <c r="B20" s="40"/>
    </row>
    <row r="21" spans="1:2" x14ac:dyDescent="0.3">
      <c r="A21" s="1" t="s">
        <v>12</v>
      </c>
      <c r="B21" s="48">
        <f>'Trucking Cost Model'!D17</f>
        <v>1.78</v>
      </c>
    </row>
    <row r="22" spans="1:2" x14ac:dyDescent="0.3">
      <c r="A22" s="2" t="s">
        <v>13</v>
      </c>
      <c r="B22" s="44">
        <f>'Trucking Cost Model'!D18</f>
        <v>0.75</v>
      </c>
    </row>
    <row r="23" spans="1:2" x14ac:dyDescent="0.3">
      <c r="A23" s="2" t="s">
        <v>14</v>
      </c>
      <c r="B23" s="44">
        <f>'Trucking Cost Model'!D19</f>
        <v>0.75</v>
      </c>
    </row>
    <row r="24" spans="1:2" x14ac:dyDescent="0.3">
      <c r="A24" s="40" t="s">
        <v>15</v>
      </c>
      <c r="B24" s="44">
        <f>'Trucking Cost Model'!D21</f>
        <v>0.5</v>
      </c>
    </row>
    <row r="25" spans="1:2" x14ac:dyDescent="0.3">
      <c r="A25" s="2" t="s">
        <v>68</v>
      </c>
      <c r="B25" s="50">
        <f>ROUND(B21+B22+B23+B24,2)</f>
        <v>3.78</v>
      </c>
    </row>
    <row r="26" spans="1:2" x14ac:dyDescent="0.3">
      <c r="A26" s="1" t="s">
        <v>69</v>
      </c>
      <c r="B26" s="51">
        <f>'Trucking Cost Model'!D22</f>
        <v>15</v>
      </c>
    </row>
    <row r="27" spans="1:2" x14ac:dyDescent="0.3">
      <c r="A27" s="1" t="s">
        <v>70</v>
      </c>
      <c r="B27" s="46">
        <f>ROUND(B26*B25,2)</f>
        <v>56.7</v>
      </c>
    </row>
    <row r="28" spans="1:2" x14ac:dyDescent="0.3">
      <c r="A28" s="39" t="s">
        <v>16</v>
      </c>
      <c r="B28" s="40"/>
    </row>
    <row r="29" spans="1:2" x14ac:dyDescent="0.3">
      <c r="A29" s="1" t="s">
        <v>17</v>
      </c>
      <c r="B29" s="52">
        <f>'Trucking Cost Model'!D25</f>
        <v>0</v>
      </c>
    </row>
    <row r="30" spans="1:2" x14ac:dyDescent="0.3">
      <c r="A30" t="s">
        <v>18</v>
      </c>
      <c r="B30" s="52">
        <f>'Trucking Cost Model'!D26</f>
        <v>300</v>
      </c>
    </row>
    <row r="31" spans="1:2" x14ac:dyDescent="0.3">
      <c r="A31" s="1" t="s">
        <v>19</v>
      </c>
      <c r="B31" s="42">
        <f>'Trucking Cost Model'!D27</f>
        <v>0</v>
      </c>
    </row>
    <row r="32" spans="1:2" x14ac:dyDescent="0.3">
      <c r="A32" t="s">
        <v>20</v>
      </c>
      <c r="B32" s="42">
        <f>'Trucking Cost Model'!D28</f>
        <v>50000</v>
      </c>
    </row>
    <row r="33" spans="1:2" x14ac:dyDescent="0.3">
      <c r="A33" s="1" t="s">
        <v>71</v>
      </c>
      <c r="B33" s="41">
        <v>10</v>
      </c>
    </row>
    <row r="34" spans="1:2" x14ac:dyDescent="0.3">
      <c r="A34" t="s">
        <v>72</v>
      </c>
      <c r="B34" s="41">
        <v>8</v>
      </c>
    </row>
    <row r="35" spans="1:2" x14ac:dyDescent="0.3">
      <c r="A35" s="1" t="s">
        <v>73</v>
      </c>
      <c r="B35" s="41">
        <f>B33+B34</f>
        <v>18</v>
      </c>
    </row>
    <row r="36" spans="1:2" x14ac:dyDescent="0.3">
      <c r="A36" s="1" t="s">
        <v>74</v>
      </c>
      <c r="B36" s="53" t="e">
        <f>ROUND(B29/B31,4)</f>
        <v>#DIV/0!</v>
      </c>
    </row>
    <row r="37" spans="1:2" x14ac:dyDescent="0.3">
      <c r="A37" s="1" t="s">
        <v>75</v>
      </c>
      <c r="B37" s="53">
        <f>ROUND(B30/B32,4)</f>
        <v>6.0000000000000001E-3</v>
      </c>
    </row>
    <row r="38" spans="1:2" x14ac:dyDescent="0.3">
      <c r="A38" s="1" t="s">
        <v>76</v>
      </c>
      <c r="B38" s="53" t="e">
        <f>ROUND((B36*B33*B14)+(B36*B33*B13),4)</f>
        <v>#DIV/0!</v>
      </c>
    </row>
    <row r="39" spans="1:2" x14ac:dyDescent="0.3">
      <c r="A39" s="1" t="s">
        <v>77</v>
      </c>
      <c r="B39" s="53">
        <f>ROUND((B37*B34*B14)+(B37*B34*B13),4)</f>
        <v>4.8000000000000001E-2</v>
      </c>
    </row>
    <row r="40" spans="1:2" x14ac:dyDescent="0.3">
      <c r="A40" s="1" t="s">
        <v>78</v>
      </c>
      <c r="B40" s="53" t="e">
        <f>ROUND(B38+B39,4)</f>
        <v>#DIV/0!</v>
      </c>
    </row>
    <row r="41" spans="1:2" x14ac:dyDescent="0.3">
      <c r="A41" s="1" t="s">
        <v>79</v>
      </c>
      <c r="B41" s="46" t="e">
        <f>ROUND(B18*B40,2)</f>
        <v>#DIV/0!</v>
      </c>
    </row>
    <row r="42" spans="1:2" x14ac:dyDescent="0.3">
      <c r="A42" s="39" t="s">
        <v>21</v>
      </c>
      <c r="B42" s="40"/>
    </row>
    <row r="43" spans="1:2" x14ac:dyDescent="0.3">
      <c r="A43" s="1" t="s">
        <v>22</v>
      </c>
      <c r="B43" s="54">
        <f>'Trucking Cost Model'!D30</f>
        <v>0</v>
      </c>
    </row>
    <row r="44" spans="1:2" x14ac:dyDescent="0.3">
      <c r="A44" s="1" t="s">
        <v>80</v>
      </c>
      <c r="B44" s="53">
        <f>ROUND((B43+(((B5-58000)/1000)*0.00097*B13))+((((B7+B8)-58000)/1000)*0.00097*B14),4)</f>
        <v>-2.23E-2</v>
      </c>
    </row>
    <row r="45" spans="1:2" x14ac:dyDescent="0.3">
      <c r="A45" s="1" t="s">
        <v>81</v>
      </c>
      <c r="B45" s="46">
        <f>ROUND(B44*B18,2)</f>
        <v>-1.78</v>
      </c>
    </row>
    <row r="46" spans="1:2" x14ac:dyDescent="0.3">
      <c r="A46" s="1"/>
      <c r="B46" s="40"/>
    </row>
    <row r="47" spans="1:2" x14ac:dyDescent="0.3">
      <c r="A47" s="38" t="s">
        <v>82</v>
      </c>
      <c r="B47" s="55" t="e">
        <f>ROUND(B19+B27+B41+B45,2)</f>
        <v>#DIV/0!</v>
      </c>
    </row>
    <row r="48" spans="1:2" x14ac:dyDescent="0.3">
      <c r="A48" s="38" t="s">
        <v>83</v>
      </c>
      <c r="B48" s="56" t="e">
        <f>ROUND(B47/B18,4)</f>
        <v>#DIV/0!</v>
      </c>
    </row>
    <row r="49" spans="1:2" x14ac:dyDescent="0.3">
      <c r="A49" s="1"/>
      <c r="B49" s="40"/>
    </row>
    <row r="50" spans="1:2" x14ac:dyDescent="0.3">
      <c r="A50" s="1"/>
      <c r="B50" s="40"/>
    </row>
    <row r="51" spans="1:2" x14ac:dyDescent="0.3">
      <c r="A51" s="39" t="s">
        <v>23</v>
      </c>
      <c r="B51" s="40"/>
    </row>
    <row r="52" spans="1:2" x14ac:dyDescent="0.3">
      <c r="A52" s="39" t="s">
        <v>24</v>
      </c>
      <c r="B52" s="40"/>
    </row>
    <row r="53" spans="1:2" x14ac:dyDescent="0.3">
      <c r="A53" t="s">
        <v>25</v>
      </c>
      <c r="B53" s="52">
        <f>'Trucking Cost Model'!H7</f>
        <v>22000</v>
      </c>
    </row>
    <row r="54" spans="1:2" x14ac:dyDescent="0.3">
      <c r="A54" t="s">
        <v>26</v>
      </c>
      <c r="B54" s="52">
        <f>'Trucking Cost Model'!H6</f>
        <v>0</v>
      </c>
    </row>
    <row r="55" spans="1:2" x14ac:dyDescent="0.3">
      <c r="A55" s="1" t="s">
        <v>84</v>
      </c>
      <c r="B55" s="57">
        <f>ROUND(B53*0.16,0)</f>
        <v>3520</v>
      </c>
    </row>
    <row r="56" spans="1:2" x14ac:dyDescent="0.3">
      <c r="A56" s="1" t="s">
        <v>85</v>
      </c>
      <c r="B56" s="57">
        <f>ROUND(B54*0.21,0)</f>
        <v>0</v>
      </c>
    </row>
    <row r="57" spans="1:2" x14ac:dyDescent="0.3">
      <c r="A57" t="s">
        <v>86</v>
      </c>
      <c r="B57" s="42">
        <f>'Trucking Cost Model'!H9</f>
        <v>5</v>
      </c>
    </row>
    <row r="58" spans="1:2" x14ac:dyDescent="0.3">
      <c r="A58" t="s">
        <v>87</v>
      </c>
      <c r="B58" s="42">
        <f>'Trucking Cost Model'!H8</f>
        <v>0</v>
      </c>
    </row>
    <row r="59" spans="1:2" x14ac:dyDescent="0.3">
      <c r="A59" s="1" t="s">
        <v>88</v>
      </c>
      <c r="B59" s="57">
        <f>ROUND((B53-B55)/B57,0)</f>
        <v>3696</v>
      </c>
    </row>
    <row r="60" spans="1:2" x14ac:dyDescent="0.3">
      <c r="A60" s="1" t="s">
        <v>89</v>
      </c>
      <c r="B60" s="57" t="e">
        <f>ROUND((B54-B56)/B58,0)</f>
        <v>#DIV/0!</v>
      </c>
    </row>
    <row r="61" spans="1:2" x14ac:dyDescent="0.3">
      <c r="A61" s="1" t="s">
        <v>27</v>
      </c>
      <c r="B61" s="45">
        <f>'Trucking Cost Model'!H10</f>
        <v>0.08</v>
      </c>
    </row>
    <row r="62" spans="1:2" x14ac:dyDescent="0.3">
      <c r="A62" s="1" t="s">
        <v>90</v>
      </c>
      <c r="B62" s="57">
        <f>ROUND(((B53-B55)/2+B55)*B61,0)</f>
        <v>1021</v>
      </c>
    </row>
    <row r="63" spans="1:2" x14ac:dyDescent="0.3">
      <c r="A63" s="1" t="s">
        <v>91</v>
      </c>
      <c r="B63" s="57">
        <f>ROUND(((B54-B56)/2+B56)*B61,0)</f>
        <v>0</v>
      </c>
    </row>
    <row r="64" spans="1:2" x14ac:dyDescent="0.3">
      <c r="A64" s="1" t="s">
        <v>92</v>
      </c>
      <c r="B64" s="57">
        <f>ROUND(B59+B62,0)</f>
        <v>4717</v>
      </c>
    </row>
    <row r="65" spans="1:2" x14ac:dyDescent="0.3">
      <c r="A65" s="1" t="s">
        <v>93</v>
      </c>
      <c r="B65" s="57" t="e">
        <f>ROUND(B60+B63,0)</f>
        <v>#DIV/0!</v>
      </c>
    </row>
    <row r="66" spans="1:2" x14ac:dyDescent="0.3">
      <c r="A66" t="s">
        <v>94</v>
      </c>
      <c r="B66" s="46" t="e">
        <f>ROUND(B64+B65,2)</f>
        <v>#DIV/0!</v>
      </c>
    </row>
    <row r="67" spans="1:2" x14ac:dyDescent="0.3">
      <c r="A67" s="39" t="s">
        <v>95</v>
      </c>
      <c r="B67" s="40"/>
    </row>
    <row r="68" spans="1:2" x14ac:dyDescent="0.3">
      <c r="A68" t="s">
        <v>96</v>
      </c>
      <c r="B68" s="57">
        <v>550</v>
      </c>
    </row>
    <row r="69" spans="1:2" x14ac:dyDescent="0.3">
      <c r="A69" t="s">
        <v>97</v>
      </c>
      <c r="B69" s="58">
        <v>0.12</v>
      </c>
    </row>
    <row r="70" spans="1:2" x14ac:dyDescent="0.3">
      <c r="A70" t="s">
        <v>98</v>
      </c>
      <c r="B70" s="57">
        <f>ROUND(B53/B57,0)</f>
        <v>4400</v>
      </c>
    </row>
    <row r="71" spans="1:2" x14ac:dyDescent="0.3">
      <c r="A71" t="s">
        <v>99</v>
      </c>
      <c r="B71" s="57" t="e">
        <f>ROUND(B54/B58,0)</f>
        <v>#DIV/0!</v>
      </c>
    </row>
    <row r="72" spans="1:2" x14ac:dyDescent="0.3">
      <c r="A72" t="s">
        <v>100</v>
      </c>
      <c r="B72" s="46" t="e">
        <f>ROUND(B68+((B70+B71)*B69),2)</f>
        <v>#DIV/0!</v>
      </c>
    </row>
    <row r="73" spans="1:2" x14ac:dyDescent="0.3">
      <c r="A73" s="39" t="s">
        <v>28</v>
      </c>
      <c r="B73" s="59"/>
    </row>
    <row r="74" spans="1:2" x14ac:dyDescent="0.3">
      <c r="A74" t="s">
        <v>29</v>
      </c>
      <c r="B74" s="52">
        <f>'Trucking Cost Model'!H12</f>
        <v>1718</v>
      </c>
    </row>
    <row r="75" spans="1:2" x14ac:dyDescent="0.3">
      <c r="A75" t="s">
        <v>30</v>
      </c>
      <c r="B75" s="60">
        <f>'Trucking Cost Model'!H13</f>
        <v>20</v>
      </c>
    </row>
    <row r="76" spans="1:2" x14ac:dyDescent="0.3">
      <c r="A76" t="s">
        <v>101</v>
      </c>
      <c r="B76" s="61" t="str">
        <f>IF(B75&lt;=2,"$39",IF(B75&lt;=5,"$116",IF(B75&lt;=20,"$231",IF(B75&lt;=100,"$806",IF(B75&lt;=1000,"$3840",IF(B75&gt;1000,"$37500"))))))</f>
        <v>$231</v>
      </c>
    </row>
    <row r="77" spans="1:2" x14ac:dyDescent="0.3">
      <c r="A77" t="s">
        <v>31</v>
      </c>
      <c r="B77" s="62">
        <f>'Trucking Cost Model'!H14</f>
        <v>80000</v>
      </c>
    </row>
    <row r="78" spans="1:2" x14ac:dyDescent="0.3">
      <c r="A78" t="s">
        <v>102</v>
      </c>
      <c r="B78" s="59">
        <f>ROUND(B74+B76,2)</f>
        <v>1949</v>
      </c>
    </row>
    <row r="79" spans="1:2" x14ac:dyDescent="0.3">
      <c r="A79" s="39" t="s">
        <v>32</v>
      </c>
      <c r="B79" s="59"/>
    </row>
    <row r="80" spans="1:2" x14ac:dyDescent="0.3">
      <c r="A80" t="s">
        <v>103</v>
      </c>
      <c r="B80" s="45">
        <f>'Trucking Cost Model'!H16</f>
        <v>0.04</v>
      </c>
    </row>
    <row r="81" spans="1:2" x14ac:dyDescent="0.3">
      <c r="A81" s="39" t="s">
        <v>33</v>
      </c>
      <c r="B81" s="40"/>
    </row>
    <row r="82" spans="1:2" x14ac:dyDescent="0.3">
      <c r="A82" s="1" t="s">
        <v>34</v>
      </c>
      <c r="B82" s="52">
        <f>'Trucking Cost Model'!H18</f>
        <v>9000</v>
      </c>
    </row>
    <row r="83" spans="1:2" x14ac:dyDescent="0.3">
      <c r="A83" s="1"/>
      <c r="B83" s="59"/>
    </row>
    <row r="84" spans="1:2" x14ac:dyDescent="0.3">
      <c r="A84" s="38" t="s">
        <v>104</v>
      </c>
      <c r="B84" s="55" t="e">
        <f>ROUND(ROUND((((B66+B72+B78+B82)*(1+B80))/B77),2)*B18,2)</f>
        <v>#DIV/0!</v>
      </c>
    </row>
    <row r="85" spans="1:2" x14ac:dyDescent="0.3">
      <c r="A85" s="38" t="s">
        <v>105</v>
      </c>
      <c r="B85" s="56" t="e">
        <f>ROUND(((B66+B72+B78+B82)*(1+B80))/B77,4)</f>
        <v>#DIV/0!</v>
      </c>
    </row>
    <row r="86" spans="1:2" x14ac:dyDescent="0.3">
      <c r="A86" s="1"/>
      <c r="B86" s="59"/>
    </row>
    <row r="87" spans="1:2" x14ac:dyDescent="0.3">
      <c r="A87" s="38" t="s">
        <v>35</v>
      </c>
      <c r="B87" s="55" t="e">
        <f>ROUND(B47+B84,2)</f>
        <v>#DIV/0!</v>
      </c>
    </row>
    <row r="88" spans="1:2" x14ac:dyDescent="0.3">
      <c r="A88" s="1" t="s">
        <v>36</v>
      </c>
      <c r="B88" s="53" t="e">
        <f>ROUND(B87/B25,4)</f>
        <v>#DIV/0!</v>
      </c>
    </row>
    <row r="89" spans="1:2" x14ac:dyDescent="0.3">
      <c r="A89" s="38" t="s">
        <v>37</v>
      </c>
      <c r="B89" s="56" t="e">
        <f>ROUND(B87/B18,4)</f>
        <v>#DIV/0!</v>
      </c>
    </row>
    <row r="90" spans="1:2" x14ac:dyDescent="0.3">
      <c r="A90" s="1" t="s">
        <v>106</v>
      </c>
      <c r="B90" s="53" t="e">
        <f>ROUND(B87/(B6/2000),4)</f>
        <v>#DIV/0!</v>
      </c>
    </row>
    <row r="91" spans="1:2" x14ac:dyDescent="0.3">
      <c r="A91" s="38" t="s">
        <v>38</v>
      </c>
      <c r="B91" s="56" t="e">
        <f>ROUND(B89/((B6/2000)/(100/(B13*100))),4)</f>
        <v>#DIV/0!</v>
      </c>
    </row>
    <row r="92" spans="1:2" x14ac:dyDescent="0.3">
      <c r="A92" s="1"/>
      <c r="B92" s="2"/>
    </row>
    <row r="93" spans="1:2" x14ac:dyDescent="0.3">
      <c r="A93" s="1"/>
      <c r="B93" s="2"/>
    </row>
    <row r="94" spans="1:2" x14ac:dyDescent="0.3">
      <c r="A94" s="1"/>
      <c r="B94" s="2"/>
    </row>
    <row r="95" spans="1:2" x14ac:dyDescent="0.3">
      <c r="A95" s="3" t="s">
        <v>39</v>
      </c>
      <c r="B95" s="2"/>
    </row>
    <row r="96" spans="1:2" x14ac:dyDescent="0.3">
      <c r="A96" s="1" t="s">
        <v>40</v>
      </c>
      <c r="B96" s="2"/>
    </row>
    <row r="97" spans="1:2" x14ac:dyDescent="0.3">
      <c r="A97" s="1"/>
      <c r="B97" s="2"/>
    </row>
    <row r="98" spans="1:2" x14ac:dyDescent="0.3">
      <c r="A98" s="4" t="s">
        <v>41</v>
      </c>
      <c r="B98" s="2"/>
    </row>
    <row r="99" spans="1:2" x14ac:dyDescent="0.3">
      <c r="A99" s="1"/>
      <c r="B99" s="2"/>
    </row>
    <row r="100" spans="1:2" x14ac:dyDescent="0.3">
      <c r="A100" s="4" t="s">
        <v>42</v>
      </c>
      <c r="B100" s="2"/>
    </row>
    <row r="101" spans="1:2" x14ac:dyDescent="0.3">
      <c r="A101" s="1"/>
      <c r="B101" s="2"/>
    </row>
    <row r="102" spans="1:2" x14ac:dyDescent="0.3">
      <c r="A102" s="4" t="s">
        <v>43</v>
      </c>
      <c r="B102" s="2"/>
    </row>
    <row r="103" spans="1:2" x14ac:dyDescent="0.3">
      <c r="A103" s="4"/>
      <c r="B103" s="2"/>
    </row>
    <row r="104" spans="1:2" x14ac:dyDescent="0.3">
      <c r="A104" s="4" t="s">
        <v>44</v>
      </c>
      <c r="B104" s="2"/>
    </row>
    <row r="105" spans="1:2" x14ac:dyDescent="0.3">
      <c r="A105" s="5"/>
      <c r="B105" s="2"/>
    </row>
    <row r="106" spans="1:2" x14ac:dyDescent="0.3">
      <c r="A106" s="3" t="s">
        <v>45</v>
      </c>
      <c r="B106" s="2"/>
    </row>
    <row r="107" spans="1:2" x14ac:dyDescent="0.3">
      <c r="A107" t="s">
        <v>107</v>
      </c>
      <c r="B107" s="2"/>
    </row>
    <row r="108" spans="1:2" x14ac:dyDescent="0.3">
      <c r="A108" t="s">
        <v>46</v>
      </c>
      <c r="B108" s="2"/>
    </row>
    <row r="109" spans="1:2" x14ac:dyDescent="0.3">
      <c r="A109" s="6" t="s">
        <v>47</v>
      </c>
      <c r="B109" s="2"/>
    </row>
    <row r="110" spans="1:2" x14ac:dyDescent="0.3">
      <c r="A110" s="6"/>
      <c r="B110" s="2"/>
    </row>
  </sheetData>
  <hyperlinks>
    <hyperlink ref="A98" r:id="rId1" location="st"/>
    <hyperlink ref="A100" r:id="rId2"/>
    <hyperlink ref="A102" r:id="rId3"/>
  </hyperlinks>
  <pageMargins left="0.7" right="0.7" top="0.75" bottom="0.75" header="0.3" footer="0.3"/>
  <pageSetup orientation="portrait" verticalDpi="0"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
  <sheetViews>
    <sheetView topLeftCell="A6" workbookViewId="0">
      <selection activeCell="A20" sqref="A20:P20"/>
    </sheetView>
  </sheetViews>
  <sheetFormatPr defaultRowHeight="14.4" x14ac:dyDescent="0.3"/>
  <cols>
    <col min="1" max="1" width="9.109375" customWidth="1"/>
  </cols>
  <sheetData>
    <row r="1" spans="1:17" x14ac:dyDescent="0.3">
      <c r="A1" s="154" t="s">
        <v>122</v>
      </c>
      <c r="B1" s="155"/>
      <c r="C1" s="155"/>
      <c r="D1" s="155"/>
      <c r="E1" s="155"/>
      <c r="F1" s="155"/>
      <c r="G1" s="155"/>
      <c r="H1" s="155"/>
      <c r="I1" s="155"/>
      <c r="J1" s="155"/>
      <c r="K1" s="156"/>
      <c r="L1" s="99"/>
      <c r="M1" s="99"/>
      <c r="N1" s="99"/>
      <c r="O1" s="99"/>
      <c r="P1" s="99"/>
      <c r="Q1" s="77"/>
    </row>
    <row r="2" spans="1:17" ht="15" customHeight="1" x14ac:dyDescent="0.3">
      <c r="A2" s="162" t="s">
        <v>136</v>
      </c>
      <c r="B2" s="163"/>
      <c r="C2" s="163"/>
      <c r="D2" s="163"/>
      <c r="E2" s="163"/>
      <c r="F2" s="163"/>
      <c r="G2" s="163"/>
      <c r="H2" s="163"/>
      <c r="I2" s="163"/>
      <c r="J2" s="163"/>
      <c r="K2" s="164"/>
      <c r="L2" s="100"/>
      <c r="M2" s="100"/>
      <c r="N2" s="100"/>
      <c r="O2" s="100"/>
      <c r="P2" s="100"/>
      <c r="Q2" s="77"/>
    </row>
    <row r="3" spans="1:17" x14ac:dyDescent="0.3">
      <c r="A3" s="77"/>
      <c r="B3" s="77"/>
      <c r="C3" s="77"/>
      <c r="D3" s="77"/>
      <c r="E3" s="77"/>
      <c r="F3" s="77"/>
      <c r="G3" s="77"/>
      <c r="H3" s="77"/>
      <c r="I3" s="77"/>
      <c r="J3" s="77"/>
      <c r="K3" s="77"/>
      <c r="L3" s="77"/>
      <c r="M3" s="77"/>
      <c r="N3" s="77"/>
      <c r="O3" s="77"/>
      <c r="P3" s="77"/>
      <c r="Q3" s="77"/>
    </row>
    <row r="4" spans="1:17" x14ac:dyDescent="0.3">
      <c r="A4" s="154" t="s">
        <v>123</v>
      </c>
      <c r="B4" s="155"/>
      <c r="C4" s="155"/>
      <c r="D4" s="155"/>
      <c r="E4" s="155"/>
      <c r="F4" s="155"/>
      <c r="G4" s="155"/>
      <c r="H4" s="155"/>
      <c r="I4" s="155"/>
      <c r="J4" s="155"/>
      <c r="K4" s="155"/>
      <c r="L4" s="155"/>
      <c r="M4" s="155"/>
      <c r="N4" s="155"/>
      <c r="O4" s="155"/>
      <c r="P4" s="156"/>
      <c r="Q4" s="77"/>
    </row>
    <row r="5" spans="1:17" x14ac:dyDescent="0.3">
      <c r="A5" s="160" t="s">
        <v>124</v>
      </c>
      <c r="B5" s="123"/>
      <c r="C5" s="123"/>
      <c r="D5" s="123"/>
      <c r="E5" s="123"/>
      <c r="F5" s="123"/>
      <c r="G5" s="123"/>
      <c r="H5" s="123"/>
      <c r="I5" s="123"/>
      <c r="J5" s="123"/>
      <c r="K5" s="123"/>
      <c r="L5" s="123"/>
      <c r="M5" s="123"/>
      <c r="N5" s="123"/>
      <c r="O5" s="123"/>
      <c r="P5" s="161"/>
      <c r="Q5" s="77"/>
    </row>
    <row r="6" spans="1:17" x14ac:dyDescent="0.3">
      <c r="A6" s="160" t="s">
        <v>146</v>
      </c>
      <c r="B6" s="123"/>
      <c r="C6" s="123"/>
      <c r="D6" s="123"/>
      <c r="E6" s="123"/>
      <c r="F6" s="123"/>
      <c r="G6" s="123"/>
      <c r="H6" s="123"/>
      <c r="I6" s="123"/>
      <c r="J6" s="123"/>
      <c r="K6" s="123"/>
      <c r="L6" s="123"/>
      <c r="M6" s="123"/>
      <c r="N6" s="123"/>
      <c r="O6" s="123"/>
      <c r="P6" s="161"/>
      <c r="Q6" s="77"/>
    </row>
    <row r="7" spans="1:17" ht="45" customHeight="1" x14ac:dyDescent="0.3">
      <c r="A7" s="157" t="s">
        <v>152</v>
      </c>
      <c r="B7" s="158"/>
      <c r="C7" s="158"/>
      <c r="D7" s="158"/>
      <c r="E7" s="158"/>
      <c r="F7" s="158"/>
      <c r="G7" s="158"/>
      <c r="H7" s="158"/>
      <c r="I7" s="158"/>
      <c r="J7" s="158"/>
      <c r="K7" s="158"/>
      <c r="L7" s="158"/>
      <c r="M7" s="158"/>
      <c r="N7" s="158"/>
      <c r="O7" s="158"/>
      <c r="P7" s="159"/>
      <c r="Q7" s="77"/>
    </row>
    <row r="8" spans="1:17" s="94" customFormat="1" ht="30" customHeight="1" x14ac:dyDescent="0.3">
      <c r="A8" s="162" t="s">
        <v>153</v>
      </c>
      <c r="B8" s="163"/>
      <c r="C8" s="163"/>
      <c r="D8" s="163"/>
      <c r="E8" s="163"/>
      <c r="F8" s="163"/>
      <c r="G8" s="163"/>
      <c r="H8" s="163"/>
      <c r="I8" s="163"/>
      <c r="J8" s="163"/>
      <c r="K8" s="163"/>
      <c r="L8" s="163"/>
      <c r="M8" s="163"/>
      <c r="N8" s="163"/>
      <c r="O8" s="163"/>
      <c r="P8" s="164"/>
      <c r="Q8" s="101"/>
    </row>
    <row r="9" spans="1:17" x14ac:dyDescent="0.3">
      <c r="A9" s="77"/>
      <c r="B9" s="77"/>
      <c r="C9" s="77"/>
      <c r="D9" s="77"/>
      <c r="E9" s="77"/>
      <c r="F9" s="77"/>
      <c r="G9" s="77"/>
      <c r="H9" s="77"/>
      <c r="I9" s="77"/>
      <c r="J9" s="77"/>
      <c r="K9" s="77"/>
      <c r="L9" s="77"/>
      <c r="M9" s="77"/>
      <c r="N9" s="77"/>
      <c r="O9" s="77"/>
      <c r="P9" s="77"/>
      <c r="Q9" s="77"/>
    </row>
    <row r="10" spans="1:17" x14ac:dyDescent="0.3">
      <c r="A10" s="154" t="s">
        <v>127</v>
      </c>
      <c r="B10" s="155"/>
      <c r="C10" s="155"/>
      <c r="D10" s="155"/>
      <c r="E10" s="155"/>
      <c r="F10" s="155"/>
      <c r="G10" s="155"/>
      <c r="H10" s="155"/>
      <c r="I10" s="155"/>
      <c r="J10" s="155"/>
      <c r="K10" s="155"/>
      <c r="L10" s="156"/>
      <c r="M10" s="99"/>
      <c r="N10" s="99"/>
      <c r="O10" s="99"/>
      <c r="P10" s="99"/>
      <c r="Q10" s="77"/>
    </row>
    <row r="11" spans="1:17" ht="15" customHeight="1" x14ac:dyDescent="0.3">
      <c r="A11" s="157" t="s">
        <v>135</v>
      </c>
      <c r="B11" s="158"/>
      <c r="C11" s="158"/>
      <c r="D11" s="158"/>
      <c r="E11" s="158"/>
      <c r="F11" s="158"/>
      <c r="G11" s="158"/>
      <c r="H11" s="158"/>
      <c r="I11" s="158"/>
      <c r="J11" s="158"/>
      <c r="K11" s="158"/>
      <c r="L11" s="159"/>
      <c r="M11" s="100"/>
      <c r="N11" s="100"/>
      <c r="O11" s="100"/>
      <c r="P11" s="100"/>
      <c r="Q11" s="77"/>
    </row>
    <row r="12" spans="1:17" s="96" customFormat="1" x14ac:dyDescent="0.3">
      <c r="A12" s="167" t="s">
        <v>130</v>
      </c>
      <c r="B12" s="167"/>
      <c r="C12" s="167" t="s">
        <v>131</v>
      </c>
      <c r="D12" s="167"/>
      <c r="E12" s="167"/>
      <c r="F12" s="167"/>
      <c r="G12" s="167" t="s">
        <v>134</v>
      </c>
      <c r="H12" s="167"/>
      <c r="I12" s="167"/>
      <c r="J12" s="167"/>
      <c r="K12" s="167"/>
      <c r="L12" s="167"/>
      <c r="M12" s="97"/>
      <c r="N12" s="97"/>
      <c r="O12" s="97"/>
      <c r="P12" s="97"/>
      <c r="Q12" s="98"/>
    </row>
    <row r="13" spans="1:17" s="96" customFormat="1" x14ac:dyDescent="0.3">
      <c r="A13" s="168" t="s">
        <v>128</v>
      </c>
      <c r="B13" s="169"/>
      <c r="C13" s="168" t="s">
        <v>132</v>
      </c>
      <c r="D13" s="172"/>
      <c r="E13" s="172"/>
      <c r="F13" s="173"/>
      <c r="G13" s="176" t="s">
        <v>41</v>
      </c>
      <c r="H13" s="177"/>
      <c r="I13" s="177"/>
      <c r="J13" s="177"/>
      <c r="K13" s="177"/>
      <c r="L13" s="178"/>
      <c r="M13" s="97"/>
      <c r="N13" s="97"/>
      <c r="O13" s="97"/>
      <c r="P13" s="97"/>
      <c r="Q13" s="98"/>
    </row>
    <row r="14" spans="1:17" s="96" customFormat="1" x14ac:dyDescent="0.3">
      <c r="A14" s="170" t="s">
        <v>129</v>
      </c>
      <c r="B14" s="171"/>
      <c r="C14" s="170" t="s">
        <v>133</v>
      </c>
      <c r="D14" s="174"/>
      <c r="E14" s="174"/>
      <c r="F14" s="175"/>
      <c r="G14" s="179" t="s">
        <v>42</v>
      </c>
      <c r="H14" s="180"/>
      <c r="I14" s="180"/>
      <c r="J14" s="180"/>
      <c r="K14" s="180"/>
      <c r="L14" s="181"/>
      <c r="M14" s="98"/>
      <c r="N14" s="98"/>
      <c r="O14" s="98"/>
      <c r="P14" s="98"/>
      <c r="Q14" s="98"/>
    </row>
    <row r="15" spans="1:17" x14ac:dyDescent="0.3">
      <c r="A15" s="77"/>
      <c r="B15" s="77"/>
      <c r="C15" s="77"/>
      <c r="D15" s="77"/>
      <c r="E15" s="77"/>
      <c r="F15" s="77"/>
      <c r="G15" s="77"/>
      <c r="H15" s="77"/>
      <c r="I15" s="77"/>
      <c r="J15" s="77"/>
      <c r="K15" s="77"/>
      <c r="L15" s="77"/>
      <c r="M15" s="77"/>
      <c r="N15" s="77"/>
      <c r="O15" s="77"/>
      <c r="P15" s="77"/>
      <c r="Q15" s="77"/>
    </row>
    <row r="16" spans="1:17" x14ac:dyDescent="0.3">
      <c r="A16" s="154" t="s">
        <v>125</v>
      </c>
      <c r="B16" s="155"/>
      <c r="C16" s="155"/>
      <c r="D16" s="155"/>
      <c r="E16" s="155"/>
      <c r="F16" s="155"/>
      <c r="G16" s="155"/>
      <c r="H16" s="155"/>
      <c r="I16" s="155"/>
      <c r="J16" s="155"/>
      <c r="K16" s="155"/>
      <c r="L16" s="155"/>
      <c r="M16" s="155"/>
      <c r="N16" s="155"/>
      <c r="O16" s="155"/>
      <c r="P16" s="156"/>
      <c r="Q16" s="77"/>
    </row>
    <row r="17" spans="1:17" x14ac:dyDescent="0.3">
      <c r="A17" s="160" t="s">
        <v>138</v>
      </c>
      <c r="B17" s="165"/>
      <c r="C17" s="165"/>
      <c r="D17" s="165"/>
      <c r="E17" s="165"/>
      <c r="F17" s="165"/>
      <c r="G17" s="165"/>
      <c r="H17" s="165"/>
      <c r="I17" s="165"/>
      <c r="J17" s="165"/>
      <c r="K17" s="165"/>
      <c r="L17" s="165"/>
      <c r="M17" s="165"/>
      <c r="N17" s="165"/>
      <c r="O17" s="165"/>
      <c r="P17" s="166"/>
      <c r="Q17" s="77"/>
    </row>
    <row r="18" spans="1:17" x14ac:dyDescent="0.3">
      <c r="A18" s="160" t="s">
        <v>126</v>
      </c>
      <c r="B18" s="123"/>
      <c r="C18" s="123"/>
      <c r="D18" s="123"/>
      <c r="E18" s="123"/>
      <c r="F18" s="123"/>
      <c r="G18" s="123"/>
      <c r="H18" s="123"/>
      <c r="I18" s="123"/>
      <c r="J18" s="123"/>
      <c r="K18" s="123"/>
      <c r="L18" s="123"/>
      <c r="M18" s="123"/>
      <c r="N18" s="123"/>
      <c r="O18" s="123"/>
      <c r="P18" s="161"/>
      <c r="Q18" s="77"/>
    </row>
    <row r="19" spans="1:17" ht="30" customHeight="1" x14ac:dyDescent="0.3">
      <c r="A19" s="157" t="s">
        <v>137</v>
      </c>
      <c r="B19" s="158"/>
      <c r="C19" s="158"/>
      <c r="D19" s="158"/>
      <c r="E19" s="158"/>
      <c r="F19" s="158"/>
      <c r="G19" s="158"/>
      <c r="H19" s="158"/>
      <c r="I19" s="158"/>
      <c r="J19" s="158"/>
      <c r="K19" s="158"/>
      <c r="L19" s="158"/>
      <c r="M19" s="158"/>
      <c r="N19" s="158"/>
      <c r="O19" s="158"/>
      <c r="P19" s="159"/>
      <c r="Q19" s="77"/>
    </row>
    <row r="20" spans="1:17" ht="15" customHeight="1" x14ac:dyDescent="0.3">
      <c r="A20" s="157" t="s">
        <v>154</v>
      </c>
      <c r="B20" s="158"/>
      <c r="C20" s="158"/>
      <c r="D20" s="158"/>
      <c r="E20" s="158"/>
      <c r="F20" s="158"/>
      <c r="G20" s="158"/>
      <c r="H20" s="158"/>
      <c r="I20" s="158"/>
      <c r="J20" s="158"/>
      <c r="K20" s="158"/>
      <c r="L20" s="158"/>
      <c r="M20" s="158"/>
      <c r="N20" s="158"/>
      <c r="O20" s="158"/>
      <c r="P20" s="159"/>
      <c r="Q20" s="77"/>
    </row>
    <row r="21" spans="1:17" ht="30" customHeight="1" x14ac:dyDescent="0.3">
      <c r="A21" s="157" t="s">
        <v>139</v>
      </c>
      <c r="B21" s="158"/>
      <c r="C21" s="158"/>
      <c r="D21" s="158"/>
      <c r="E21" s="158"/>
      <c r="F21" s="158"/>
      <c r="G21" s="158"/>
      <c r="H21" s="158"/>
      <c r="I21" s="158"/>
      <c r="J21" s="158"/>
      <c r="K21" s="158"/>
      <c r="L21" s="158"/>
      <c r="M21" s="158"/>
      <c r="N21" s="158"/>
      <c r="O21" s="158"/>
      <c r="P21" s="159"/>
      <c r="Q21" s="77"/>
    </row>
    <row r="22" spans="1:17" s="95" customFormat="1" ht="15" customHeight="1" x14ac:dyDescent="0.3">
      <c r="A22" s="157" t="s">
        <v>147</v>
      </c>
      <c r="B22" s="158"/>
      <c r="C22" s="158"/>
      <c r="D22" s="158"/>
      <c r="E22" s="158"/>
      <c r="F22" s="158"/>
      <c r="G22" s="158"/>
      <c r="H22" s="158"/>
      <c r="I22" s="158"/>
      <c r="J22" s="158"/>
      <c r="K22" s="158"/>
      <c r="L22" s="158"/>
      <c r="M22" s="158"/>
      <c r="N22" s="158"/>
      <c r="O22" s="158"/>
      <c r="P22" s="159"/>
      <c r="Q22" s="100"/>
    </row>
    <row r="23" spans="1:17" x14ac:dyDescent="0.3">
      <c r="A23" s="151" t="s">
        <v>148</v>
      </c>
      <c r="B23" s="152"/>
      <c r="C23" s="152"/>
      <c r="D23" s="152"/>
      <c r="E23" s="152"/>
      <c r="F23" s="152"/>
      <c r="G23" s="152"/>
      <c r="H23" s="152"/>
      <c r="I23" s="152"/>
      <c r="J23" s="152"/>
      <c r="K23" s="152"/>
      <c r="L23" s="152"/>
      <c r="M23" s="152"/>
      <c r="N23" s="152"/>
      <c r="O23" s="152"/>
      <c r="P23" s="153"/>
      <c r="Q23" s="77"/>
    </row>
    <row r="24" spans="1:17" x14ac:dyDescent="0.3">
      <c r="A24" s="77"/>
      <c r="B24" s="77"/>
      <c r="C24" s="77"/>
      <c r="D24" s="77"/>
      <c r="E24" s="77"/>
      <c r="F24" s="77"/>
      <c r="G24" s="77"/>
      <c r="H24" s="77"/>
      <c r="I24" s="77"/>
      <c r="J24" s="77"/>
      <c r="K24" s="77"/>
      <c r="L24" s="77"/>
      <c r="M24" s="77"/>
      <c r="N24" s="77"/>
      <c r="O24" s="77"/>
      <c r="P24" s="77"/>
      <c r="Q24" s="77"/>
    </row>
    <row r="25" spans="1:17" x14ac:dyDescent="0.3">
      <c r="A25" s="77"/>
      <c r="B25" s="77"/>
      <c r="C25" s="77"/>
      <c r="D25" s="77"/>
      <c r="E25" s="77"/>
      <c r="F25" s="77"/>
      <c r="G25" s="77"/>
      <c r="H25" s="77"/>
      <c r="I25" s="77"/>
      <c r="J25" s="77"/>
      <c r="K25" s="77"/>
      <c r="L25" s="77"/>
      <c r="M25" s="77"/>
      <c r="N25" s="77"/>
      <c r="O25" s="77"/>
      <c r="P25" s="77"/>
      <c r="Q25" s="77"/>
    </row>
    <row r="26" spans="1:17" x14ac:dyDescent="0.3">
      <c r="A26" s="77"/>
      <c r="B26" s="77"/>
      <c r="C26" s="77"/>
      <c r="D26" s="77"/>
      <c r="E26" s="77"/>
      <c r="F26" s="77"/>
      <c r="G26" s="77"/>
      <c r="H26" s="77"/>
      <c r="I26" s="77"/>
      <c r="J26" s="77"/>
      <c r="K26" s="77"/>
      <c r="L26" s="77"/>
      <c r="M26" s="77"/>
      <c r="N26" s="77"/>
      <c r="O26" s="77"/>
      <c r="P26" s="77"/>
      <c r="Q26" s="77"/>
    </row>
  </sheetData>
  <mergeCells count="26">
    <mergeCell ref="A1:K1"/>
    <mergeCell ref="A2:K2"/>
    <mergeCell ref="A19:P19"/>
    <mergeCell ref="A21:P21"/>
    <mergeCell ref="A20:P20"/>
    <mergeCell ref="A17:P17"/>
    <mergeCell ref="A18:P18"/>
    <mergeCell ref="A12:B12"/>
    <mergeCell ref="C12:F12"/>
    <mergeCell ref="G12:L12"/>
    <mergeCell ref="A13:B13"/>
    <mergeCell ref="A14:B14"/>
    <mergeCell ref="C13:F13"/>
    <mergeCell ref="C14:F14"/>
    <mergeCell ref="G13:L13"/>
    <mergeCell ref="G14:L14"/>
    <mergeCell ref="A23:P23"/>
    <mergeCell ref="A4:P4"/>
    <mergeCell ref="A16:P16"/>
    <mergeCell ref="A11:L11"/>
    <mergeCell ref="A10:L10"/>
    <mergeCell ref="A22:P22"/>
    <mergeCell ref="A6:P6"/>
    <mergeCell ref="A5:P5"/>
    <mergeCell ref="A7:P7"/>
    <mergeCell ref="A8:P8"/>
  </mergeCells>
  <hyperlinks>
    <hyperlink ref="G13" r:id="rId1" location="st"/>
    <hyperlink ref="G14" r:id="rId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29"/>
  <sheetViews>
    <sheetView workbookViewId="0">
      <selection activeCell="D25" sqref="D25"/>
    </sheetView>
  </sheetViews>
  <sheetFormatPr defaultRowHeight="14.4" x14ac:dyDescent="0.3"/>
  <sheetData>
    <row r="1" spans="1:17" x14ac:dyDescent="0.3">
      <c r="A1" s="154" t="s">
        <v>140</v>
      </c>
      <c r="B1" s="155"/>
      <c r="C1" s="156"/>
      <c r="D1" s="77"/>
      <c r="E1" s="77"/>
      <c r="F1" s="77"/>
      <c r="G1" s="77"/>
      <c r="H1" s="77"/>
      <c r="I1" s="77"/>
      <c r="J1" s="77"/>
      <c r="K1" s="77"/>
      <c r="L1" s="77"/>
      <c r="M1" s="77"/>
      <c r="N1" s="77"/>
      <c r="O1" s="77"/>
      <c r="P1" s="77"/>
      <c r="Q1" s="77"/>
    </row>
    <row r="2" spans="1:17" x14ac:dyDescent="0.3">
      <c r="A2" s="191" t="s">
        <v>112</v>
      </c>
      <c r="B2" s="192"/>
      <c r="C2" s="193"/>
      <c r="D2" s="77"/>
      <c r="E2" s="77"/>
      <c r="F2" s="77"/>
      <c r="G2" s="77"/>
      <c r="H2" s="77"/>
      <c r="I2" s="77"/>
      <c r="J2" s="77"/>
      <c r="K2" s="77"/>
      <c r="L2" s="77"/>
      <c r="M2" s="77"/>
      <c r="N2" s="77"/>
      <c r="O2" s="77"/>
      <c r="P2" s="77"/>
      <c r="Q2" s="77"/>
    </row>
    <row r="3" spans="1:17" x14ac:dyDescent="0.3">
      <c r="A3" s="194" t="s">
        <v>141</v>
      </c>
      <c r="B3" s="195"/>
      <c r="C3" s="196"/>
      <c r="D3" s="77"/>
      <c r="E3" s="77"/>
      <c r="F3" s="77"/>
      <c r="G3" s="77"/>
      <c r="H3" s="77"/>
      <c r="I3" s="77"/>
      <c r="J3" s="77"/>
      <c r="K3" s="77"/>
      <c r="L3" s="77"/>
      <c r="M3" s="77"/>
      <c r="N3" s="77"/>
      <c r="O3" s="77"/>
      <c r="P3" s="77"/>
      <c r="Q3" s="77"/>
    </row>
    <row r="4" spans="1:17" x14ac:dyDescent="0.3">
      <c r="A4" s="194" t="s">
        <v>142</v>
      </c>
      <c r="B4" s="195"/>
      <c r="C4" s="196"/>
      <c r="D4" s="77"/>
      <c r="E4" s="77"/>
      <c r="F4" s="77"/>
      <c r="G4" s="77"/>
      <c r="H4" s="77"/>
      <c r="I4" s="77"/>
      <c r="J4" s="77"/>
      <c r="K4" s="77"/>
      <c r="L4" s="77"/>
      <c r="M4" s="77"/>
      <c r="N4" s="77"/>
      <c r="O4" s="77"/>
      <c r="P4" s="77"/>
      <c r="Q4" s="77"/>
    </row>
    <row r="5" spans="1:17" x14ac:dyDescent="0.3">
      <c r="A5" s="194" t="s">
        <v>143</v>
      </c>
      <c r="B5" s="195"/>
      <c r="C5" s="196"/>
      <c r="D5" s="77"/>
      <c r="E5" s="77"/>
      <c r="F5" s="77"/>
      <c r="G5" s="77"/>
      <c r="H5" s="77"/>
      <c r="I5" s="77"/>
      <c r="J5" s="77"/>
      <c r="K5" s="77"/>
      <c r="L5" s="77"/>
      <c r="M5" s="77"/>
      <c r="N5" s="77"/>
      <c r="O5" s="77"/>
      <c r="P5" s="77"/>
      <c r="Q5" s="77"/>
    </row>
    <row r="6" spans="1:17" x14ac:dyDescent="0.3">
      <c r="A6" s="194" t="s">
        <v>144</v>
      </c>
      <c r="B6" s="195"/>
      <c r="C6" s="196"/>
      <c r="D6" s="77"/>
      <c r="E6" s="77"/>
      <c r="F6" s="77"/>
      <c r="G6" s="77"/>
      <c r="H6" s="77"/>
      <c r="I6" s="77"/>
      <c r="J6" s="77"/>
      <c r="K6" s="77"/>
      <c r="L6" s="77"/>
      <c r="M6" s="77"/>
      <c r="N6" s="77"/>
      <c r="O6" s="77"/>
      <c r="P6" s="77"/>
      <c r="Q6" s="77"/>
    </row>
    <row r="7" spans="1:17" x14ac:dyDescent="0.3">
      <c r="A7" s="194" t="s">
        <v>145</v>
      </c>
      <c r="B7" s="195"/>
      <c r="C7" s="196"/>
      <c r="D7" s="77"/>
      <c r="E7" s="77"/>
      <c r="F7" s="77"/>
      <c r="G7" s="77"/>
      <c r="H7" s="77"/>
      <c r="I7" s="77"/>
      <c r="J7" s="77"/>
      <c r="K7" s="77"/>
      <c r="L7" s="77"/>
      <c r="M7" s="77"/>
      <c r="N7" s="77"/>
      <c r="O7" s="77"/>
      <c r="P7" s="77"/>
      <c r="Q7" s="77"/>
    </row>
    <row r="8" spans="1:17" x14ac:dyDescent="0.3">
      <c r="A8" s="197" t="s">
        <v>114</v>
      </c>
      <c r="B8" s="198"/>
      <c r="C8" s="199"/>
      <c r="D8" s="77"/>
      <c r="E8" s="77"/>
      <c r="F8" s="77"/>
      <c r="G8" s="77"/>
      <c r="H8" s="77"/>
      <c r="I8" s="77"/>
      <c r="J8" s="77"/>
      <c r="K8" s="77"/>
      <c r="L8" s="77"/>
      <c r="M8" s="77"/>
      <c r="N8" s="77"/>
      <c r="O8" s="77"/>
      <c r="P8" s="77"/>
      <c r="Q8" s="77"/>
    </row>
    <row r="9" spans="1:17" x14ac:dyDescent="0.3">
      <c r="A9" s="200" t="s">
        <v>115</v>
      </c>
      <c r="B9" s="201"/>
      <c r="C9" s="202"/>
      <c r="D9" s="77"/>
      <c r="E9" s="77"/>
      <c r="F9" s="77"/>
      <c r="G9" s="77"/>
      <c r="H9" s="77"/>
      <c r="I9" s="77"/>
      <c r="J9" s="77"/>
      <c r="K9" s="77"/>
      <c r="L9" s="77"/>
      <c r="M9" s="77"/>
      <c r="N9" s="77"/>
      <c r="O9" s="77"/>
      <c r="P9" s="77"/>
      <c r="Q9" s="77"/>
    </row>
    <row r="10" spans="1:17" x14ac:dyDescent="0.3">
      <c r="A10" s="77"/>
      <c r="B10" s="77"/>
      <c r="C10" s="77"/>
      <c r="D10" s="77"/>
      <c r="E10" s="77"/>
      <c r="F10" s="77"/>
      <c r="G10" s="77"/>
      <c r="H10" s="77"/>
      <c r="I10" s="77"/>
      <c r="J10" s="77"/>
      <c r="K10" s="77"/>
      <c r="L10" s="77"/>
      <c r="M10" s="77"/>
      <c r="N10" s="77"/>
      <c r="O10" s="77"/>
      <c r="P10" s="77"/>
      <c r="Q10" s="77"/>
    </row>
    <row r="11" spans="1:17" x14ac:dyDescent="0.3">
      <c r="A11" s="154" t="s">
        <v>118</v>
      </c>
      <c r="B11" s="155"/>
      <c r="C11" s="155"/>
      <c r="D11" s="155"/>
      <c r="E11" s="155"/>
      <c r="F11" s="155"/>
      <c r="G11" s="155"/>
      <c r="H11" s="155"/>
      <c r="I11" s="155"/>
      <c r="J11" s="155"/>
      <c r="K11" s="155"/>
      <c r="L11" s="155"/>
      <c r="M11" s="155"/>
      <c r="N11" s="155"/>
      <c r="O11" s="155"/>
      <c r="P11" s="156"/>
      <c r="Q11" s="77"/>
    </row>
    <row r="12" spans="1:17" s="92" customFormat="1" ht="30" customHeight="1" x14ac:dyDescent="0.3">
      <c r="A12" s="185" t="s">
        <v>149</v>
      </c>
      <c r="B12" s="186"/>
      <c r="C12" s="186"/>
      <c r="D12" s="186"/>
      <c r="E12" s="186"/>
      <c r="F12" s="186"/>
      <c r="G12" s="186"/>
      <c r="H12" s="186"/>
      <c r="I12" s="186"/>
      <c r="J12" s="186"/>
      <c r="K12" s="186"/>
      <c r="L12" s="186"/>
      <c r="M12" s="186"/>
      <c r="N12" s="186"/>
      <c r="O12" s="186"/>
      <c r="P12" s="187"/>
      <c r="Q12" s="102"/>
    </row>
    <row r="13" spans="1:17" s="92" customFormat="1" ht="30" customHeight="1" x14ac:dyDescent="0.3">
      <c r="A13" s="188" t="s">
        <v>150</v>
      </c>
      <c r="B13" s="189"/>
      <c r="C13" s="189"/>
      <c r="D13" s="189"/>
      <c r="E13" s="189"/>
      <c r="F13" s="189"/>
      <c r="G13" s="189"/>
      <c r="H13" s="189"/>
      <c r="I13" s="189"/>
      <c r="J13" s="189"/>
      <c r="K13" s="189"/>
      <c r="L13" s="189"/>
      <c r="M13" s="189"/>
      <c r="N13" s="189"/>
      <c r="O13" s="189"/>
      <c r="P13" s="190"/>
      <c r="Q13" s="102"/>
    </row>
    <row r="14" spans="1:17" x14ac:dyDescent="0.3">
      <c r="A14" s="160" t="s">
        <v>155</v>
      </c>
      <c r="B14" s="123"/>
      <c r="C14" s="123"/>
      <c r="D14" s="123"/>
      <c r="E14" s="123"/>
      <c r="F14" s="123"/>
      <c r="G14" s="123"/>
      <c r="H14" s="123"/>
      <c r="I14" s="123"/>
      <c r="J14" s="123"/>
      <c r="K14" s="123"/>
      <c r="L14" s="123"/>
      <c r="M14" s="123"/>
      <c r="N14" s="123"/>
      <c r="O14" s="123"/>
      <c r="P14" s="161"/>
      <c r="Q14" s="77"/>
    </row>
    <row r="15" spans="1:17" x14ac:dyDescent="0.3">
      <c r="A15" s="151" t="s">
        <v>151</v>
      </c>
      <c r="B15" s="152"/>
      <c r="C15" s="152"/>
      <c r="D15" s="152"/>
      <c r="E15" s="152"/>
      <c r="F15" s="152"/>
      <c r="G15" s="152"/>
      <c r="H15" s="152"/>
      <c r="I15" s="152"/>
      <c r="J15" s="152"/>
      <c r="K15" s="152"/>
      <c r="L15" s="152"/>
      <c r="M15" s="152"/>
      <c r="N15" s="152"/>
      <c r="O15" s="152"/>
      <c r="P15" s="153"/>
      <c r="Q15" s="77"/>
    </row>
    <row r="16" spans="1:17" x14ac:dyDescent="0.3">
      <c r="A16" s="77"/>
      <c r="B16" s="77"/>
      <c r="C16" s="77"/>
      <c r="D16" s="77"/>
      <c r="E16" s="77"/>
      <c r="F16" s="77"/>
      <c r="G16" s="77"/>
      <c r="H16" s="77"/>
      <c r="I16" s="77"/>
      <c r="J16" s="77"/>
      <c r="K16" s="77"/>
      <c r="L16" s="77"/>
      <c r="M16" s="77"/>
      <c r="N16" s="77"/>
      <c r="O16" s="77"/>
      <c r="P16" s="77"/>
      <c r="Q16" s="77"/>
    </row>
    <row r="17" spans="1:17" x14ac:dyDescent="0.3">
      <c r="A17" s="154" t="s">
        <v>119</v>
      </c>
      <c r="B17" s="155"/>
      <c r="C17" s="155"/>
      <c r="D17" s="155"/>
      <c r="E17" s="155"/>
      <c r="F17" s="155"/>
      <c r="G17" s="155"/>
      <c r="H17" s="155"/>
      <c r="I17" s="155"/>
      <c r="J17" s="155"/>
      <c r="K17" s="155"/>
      <c r="L17" s="155"/>
      <c r="M17" s="155"/>
      <c r="N17" s="155"/>
      <c r="O17" s="155"/>
      <c r="P17" s="156"/>
      <c r="Q17" s="77"/>
    </row>
    <row r="18" spans="1:17" ht="30" customHeight="1" x14ac:dyDescent="0.3">
      <c r="A18" s="182" t="s">
        <v>156</v>
      </c>
      <c r="B18" s="183"/>
      <c r="C18" s="183"/>
      <c r="D18" s="183"/>
      <c r="E18" s="183"/>
      <c r="F18" s="183"/>
      <c r="G18" s="183"/>
      <c r="H18" s="183"/>
      <c r="I18" s="183"/>
      <c r="J18" s="183"/>
      <c r="K18" s="183"/>
      <c r="L18" s="183"/>
      <c r="M18" s="183"/>
      <c r="N18" s="183"/>
      <c r="O18" s="183"/>
      <c r="P18" s="184"/>
      <c r="Q18" s="77"/>
    </row>
    <row r="19" spans="1:17" x14ac:dyDescent="0.3">
      <c r="A19" s="77"/>
      <c r="B19" s="77"/>
      <c r="C19" s="77"/>
      <c r="D19" s="77"/>
      <c r="E19" s="77"/>
      <c r="F19" s="77"/>
      <c r="G19" s="77"/>
      <c r="H19" s="77"/>
      <c r="I19" s="77"/>
      <c r="J19" s="77"/>
      <c r="K19" s="77"/>
      <c r="L19" s="77"/>
      <c r="M19" s="77"/>
      <c r="N19" s="77"/>
      <c r="O19" s="77"/>
      <c r="P19" s="77"/>
      <c r="Q19" s="77"/>
    </row>
    <row r="20" spans="1:17" x14ac:dyDescent="0.3">
      <c r="A20" s="77"/>
      <c r="B20" s="77"/>
      <c r="C20" s="77"/>
      <c r="D20" s="77"/>
      <c r="E20" s="77"/>
      <c r="F20" s="77"/>
      <c r="G20" s="77"/>
      <c r="H20" s="77"/>
      <c r="I20" s="77"/>
      <c r="J20" s="77"/>
      <c r="K20" s="77"/>
      <c r="L20" s="77"/>
      <c r="M20" s="77"/>
      <c r="N20" s="77"/>
      <c r="O20" s="77"/>
      <c r="P20" s="77"/>
      <c r="Q20" s="77"/>
    </row>
    <row r="21" spans="1:17" x14ac:dyDescent="0.3">
      <c r="A21" s="77"/>
      <c r="B21" s="77"/>
      <c r="C21" s="77"/>
      <c r="D21" s="77"/>
      <c r="E21" s="77"/>
      <c r="F21" s="77"/>
      <c r="G21" s="77"/>
      <c r="H21" s="77"/>
      <c r="I21" s="77"/>
      <c r="J21" s="77"/>
      <c r="K21" s="77"/>
      <c r="L21" s="77"/>
      <c r="M21" s="77"/>
      <c r="N21" s="77"/>
      <c r="O21" s="77"/>
      <c r="P21" s="77"/>
      <c r="Q21" s="77"/>
    </row>
    <row r="22" spans="1:17" x14ac:dyDescent="0.3">
      <c r="A22" s="77"/>
      <c r="B22" s="77"/>
      <c r="C22" s="77"/>
      <c r="D22" s="77"/>
      <c r="E22" s="77"/>
      <c r="F22" s="77"/>
      <c r="G22" s="77"/>
      <c r="H22" s="77"/>
      <c r="I22" s="77"/>
      <c r="J22" s="77"/>
      <c r="K22" s="77"/>
      <c r="L22" s="77"/>
      <c r="M22" s="77"/>
      <c r="N22" s="77"/>
      <c r="O22" s="77"/>
      <c r="P22" s="77"/>
      <c r="Q22" s="77"/>
    </row>
    <row r="23" spans="1:17" x14ac:dyDescent="0.3">
      <c r="A23" s="77"/>
      <c r="B23" s="77"/>
      <c r="C23" s="77"/>
      <c r="D23" s="77"/>
      <c r="E23" s="77"/>
      <c r="F23" s="77"/>
      <c r="G23" s="77"/>
      <c r="H23" s="77"/>
      <c r="I23" s="77"/>
      <c r="J23" s="77"/>
      <c r="K23" s="77"/>
      <c r="L23" s="77"/>
      <c r="M23" s="77"/>
      <c r="N23" s="77"/>
      <c r="O23" s="77"/>
      <c r="P23" s="77"/>
      <c r="Q23" s="77"/>
    </row>
    <row r="24" spans="1:17" x14ac:dyDescent="0.3">
      <c r="A24" s="77"/>
      <c r="B24" s="77"/>
      <c r="C24" s="77"/>
      <c r="D24" s="77"/>
      <c r="E24" s="77"/>
      <c r="F24" s="77"/>
      <c r="G24" s="77"/>
      <c r="H24" s="77"/>
      <c r="I24" s="77"/>
      <c r="J24" s="77"/>
      <c r="K24" s="77"/>
      <c r="L24" s="77"/>
      <c r="M24" s="77"/>
      <c r="N24" s="77"/>
      <c r="O24" s="77"/>
      <c r="P24" s="77"/>
      <c r="Q24" s="77"/>
    </row>
    <row r="25" spans="1:17" x14ac:dyDescent="0.3">
      <c r="A25" s="77"/>
      <c r="B25" s="77"/>
      <c r="C25" s="77"/>
      <c r="D25" s="77"/>
      <c r="E25" s="77"/>
      <c r="F25" s="77"/>
      <c r="G25" s="77"/>
      <c r="H25" s="77"/>
      <c r="I25" s="77"/>
      <c r="J25" s="77"/>
      <c r="K25" s="77"/>
      <c r="L25" s="77"/>
      <c r="M25" s="77"/>
      <c r="N25" s="77"/>
      <c r="O25" s="77"/>
      <c r="P25" s="77"/>
      <c r="Q25" s="77"/>
    </row>
    <row r="26" spans="1:17" x14ac:dyDescent="0.3">
      <c r="A26" s="77"/>
      <c r="B26" s="77"/>
      <c r="C26" s="77"/>
      <c r="D26" s="77"/>
      <c r="E26" s="77"/>
      <c r="F26" s="77"/>
      <c r="G26" s="77"/>
      <c r="H26" s="77"/>
      <c r="I26" s="77"/>
      <c r="J26" s="77"/>
      <c r="K26" s="77"/>
      <c r="L26" s="77"/>
      <c r="M26" s="77"/>
      <c r="N26" s="77"/>
      <c r="O26" s="77"/>
      <c r="P26" s="77"/>
      <c r="Q26" s="77"/>
    </row>
    <row r="27" spans="1:17" x14ac:dyDescent="0.3">
      <c r="A27" s="77"/>
      <c r="B27" s="77"/>
      <c r="C27" s="77"/>
      <c r="D27" s="77"/>
      <c r="E27" s="77"/>
      <c r="F27" s="77"/>
      <c r="G27" s="77"/>
      <c r="H27" s="77"/>
      <c r="I27" s="77"/>
      <c r="J27" s="77"/>
      <c r="K27" s="77"/>
      <c r="L27" s="77"/>
      <c r="M27" s="77"/>
      <c r="N27" s="77"/>
      <c r="O27" s="77"/>
      <c r="P27" s="77"/>
      <c r="Q27" s="77"/>
    </row>
    <row r="28" spans="1:17" x14ac:dyDescent="0.3">
      <c r="A28" s="77"/>
      <c r="B28" s="77"/>
      <c r="C28" s="77"/>
      <c r="D28" s="77"/>
      <c r="E28" s="77"/>
      <c r="F28" s="77"/>
      <c r="G28" s="77"/>
      <c r="H28" s="77"/>
      <c r="I28" s="77"/>
      <c r="J28" s="77"/>
      <c r="K28" s="77"/>
      <c r="L28" s="77"/>
      <c r="M28" s="77"/>
      <c r="N28" s="77"/>
      <c r="O28" s="77"/>
      <c r="P28" s="77"/>
      <c r="Q28" s="77"/>
    </row>
    <row r="29" spans="1:17" x14ac:dyDescent="0.3">
      <c r="A29" s="77"/>
      <c r="B29" s="77"/>
      <c r="C29" s="77"/>
      <c r="D29" s="77"/>
      <c r="E29" s="77"/>
      <c r="F29" s="77"/>
      <c r="G29" s="77"/>
      <c r="H29" s="77"/>
      <c r="I29" s="77"/>
      <c r="J29" s="77"/>
      <c r="K29" s="77"/>
      <c r="L29" s="77"/>
      <c r="M29" s="77"/>
      <c r="N29" s="77"/>
      <c r="O29" s="77"/>
      <c r="P29" s="77"/>
      <c r="Q29" s="77"/>
    </row>
  </sheetData>
  <mergeCells count="16">
    <mergeCell ref="A1:C1"/>
    <mergeCell ref="A11:P11"/>
    <mergeCell ref="A17:P17"/>
    <mergeCell ref="A18:P18"/>
    <mergeCell ref="A12:P12"/>
    <mergeCell ref="A14:P14"/>
    <mergeCell ref="A13:P13"/>
    <mergeCell ref="A2:C2"/>
    <mergeCell ref="A3:C3"/>
    <mergeCell ref="A4:C4"/>
    <mergeCell ref="A5:C5"/>
    <mergeCell ref="A6:C6"/>
    <mergeCell ref="A7:C7"/>
    <mergeCell ref="A8:C8"/>
    <mergeCell ref="A9:C9"/>
    <mergeCell ref="A15:P15"/>
  </mergeCells>
  <hyperlinks>
    <hyperlink ref="A8" r:id="rId1" display="mailto:knorris@utk.edu"/>
  </hyperlinks>
  <pageMargins left="0.7" right="0.7" top="0.75" bottom="0.75" header="0.3" footer="0.3"/>
  <pageSetup orientation="portrait" verticalDpi="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Trucking Cost Model</vt:lpstr>
      <vt:lpstr>Instructions</vt:lpstr>
      <vt:lpstr>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Kerri</dc:creator>
  <cp:lastModifiedBy>User</cp:lastModifiedBy>
  <dcterms:created xsi:type="dcterms:W3CDTF">2009-06-16T20:55:34Z</dcterms:created>
  <dcterms:modified xsi:type="dcterms:W3CDTF">2019-10-16T21:00:45Z</dcterms:modified>
</cp:coreProperties>
</file>